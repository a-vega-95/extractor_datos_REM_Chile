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957460C9-B318-DD5D-5CC9-C049C1E746C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21dsm-cf\Documents\REM 2025\COLLIMALLIN\ENERO\"/>
    </mc:Choice>
  </mc:AlternateContent>
  <xr:revisionPtr revIDLastSave="0" documentId="13_ncr:1_{D4CA28A3-ED9B-4466-B1BC-BFBC00EA9D5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<sst xmlns="http://schemas.openxmlformats.org/spreadsheetml/2006/main" count="437" uniqueCount="383">
  <si>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</si>
  <si>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</si>
  <si>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</si>
  <si>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</si>
  <si>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</si>
  <si>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</si>
  <si>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</si>
  <si>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</si>
  <si>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</si>
  <si>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</si>
  <si>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</si>
  <si>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</si>
  <si>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</si>
  <si>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</si>
  <si>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</si>
  <si>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</si>
  <si>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</si>
  <si>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</si>
  <si>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</si>
  <si>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</si>
  <si>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</si>
  <si>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</si>
  <si>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</si>
  <si>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</si>
  <si>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</si>
  <si>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</si>
  <si>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</si>
  <si>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</si>
  <si>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</si>
  <si>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</si>
  <si>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</si>
  <si>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</si>
  <si>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</si>
  <si>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</si>
  <si>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</si>
  <si>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</si>
  <si>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</si>
  <si>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</si>
  <si>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</si>
  <si>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</si>
  <si>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</si>
  <si>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</si>
  <si>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</si>
  <si>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</si>
  <si>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</si>
  <si>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</si>
  <si>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</si>
  <si>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</si>
  <si>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</si>
  <si>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</si>
  <si>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</si>
  <si>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</si>
  <si>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</si>
  <si>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</si>
  <si>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</si>
  <si>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</si>
  <si>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</si>
  <si>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</si>
  <si>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</si>
  <si>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</si>
  <si>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</si>
  <si>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</si>
  <si>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</si>
  <si>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</si>
  <si>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</si>
  <si>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</si>
  <si>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</si>
  <si>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</si>
  <si>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</si>
  <si>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</si>
  <si>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</si>
  <si>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</si>
  <si>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</si>
  <si>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</si>
  <si>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</si>
  <si>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</si>
  <si>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</si>
  <si>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</si>
  <si>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</si>
  <si>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</si>
  <si>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</si>
  <si>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</si>
  <si>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</si>
  <si>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</si>
  <si>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</si>
  <si>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</si>
  <si>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</si>
  <si>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</si>
  <si>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</si>
  <si>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</si>
  <si>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</si>
  <si>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</si>
  <si>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</si>
  <si>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</si>
  <si>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</si>
  <si>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</si>
  <si>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</si>
  <si>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</si>
  <si>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</si>
  <si>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</si>
  <si>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</si>
  <si>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</si>
  <si>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</si>
  <si>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</si>
  <si>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</si>
  <si>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</si>
  <si>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</si>
  <si>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</si>
  <si>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</si>
  <si>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</si>
  <si>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</si>
  <si>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</si>
  <si>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</si>
  <si>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</si>
  <si>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</si>
  <si>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</si>
  <si>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</si>
  <si>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</si>
  <si>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</si>
  <si>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</si>
  <si>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</si>
  <si>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</si>
  <si>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</si>
  <si>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</si>
  <si>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</si>
  <si>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</si>
  <si>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</si>
  <si>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</si>
  <si>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</si>
  <si>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</si>
  <si>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</si>
  <si>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</si>
  <si>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</si>
  <si>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</si>
  <si>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</si>
  <si>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</si>
  <si>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</si>
  <si>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</si>
  <si>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</si>
  <si>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</si>
  <si>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</si>
  <si>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</si>
  <si>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</si>
  <si>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</si>
  <si>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</si>
  <si>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</si>
  <si>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</si>
  <si>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</si>
  <si>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</si>
  <si>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</si>
  <si>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</si>
  <si>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</si>
  <si>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</si>
  <si>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</si>
  <si>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</si>
  <si>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</si>
  <si>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</si>
  <si>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</si>
  <si>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</si>
  <si>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</si>
  <si>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</si>
  <si>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</si>
  <si>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</si>
  <si>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</si>
  <si>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</si>
  <si>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</si>
  <si>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</si>
  <si>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</si>
  <si>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</si>
  <si>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</si>
  <si>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</si>
  <si>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</si>
  <si>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</si>
  <si>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</si>
  <si>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</si>
  <si>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</si>
  <si>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</si>
  <si>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</si>
  <si>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</si>
  <si>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</si>
  <si>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</si>
  <si>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</si>
  <si>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</si>
  <si>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</si>
  <si>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</si>
  <si>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</si>
  <si>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</si>
  <si>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</si>
  <si>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</si>
  <si>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</si>
  <si>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</si>
  <si>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</si>
  <si>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</si>
  <si>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</si>
  <si>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</si>
  <si>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</si>
  <si>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</si>
  <si>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</si>
  <si>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</si>
  <si>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</si>
  <si>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</si>
  <si>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</si>
  <si>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</si>
  <si>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</si>
  <si>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</si>
  <si>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</si>
  <si>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</si>
  <si>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</si>
  <si>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</si>
  <si>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</si>
  <si>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</si>
  <si>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</si>
  <si>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</si>
  <si>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</si>
  <si>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</si>
  <si>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</si>
  <si>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</si>
  <si>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</si>
  <si>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</si>
  <si>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</si>
  <si>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</si>
  <si>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</si>
  <si>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</si>
  <si>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</si>
  <si>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</si>
  <si>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</si>
  <si>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</si>
  <si>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</si>
  <si>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</si>
  <si>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</si>
  <si>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</si>
  <si>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</si>
  <si>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</si>
  <si>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</si>
  <si>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</si>
  <si>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</si>
  <si>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</si>
  <si>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</si>
  <si>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</si>
  <si>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</si>
  <si>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</si>
  <si>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</si>
  <si>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</si>
  <si>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</si>
  <si>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</si>
  <si>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</si>
  <si>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</si>
  <si>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</si>
  <si>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</si>
  <si>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</si>
  <si>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</si>
  <si>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</si>
  <si>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</si>
  <si>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</si>
  <si>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</si>
  <si>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</si>
  <si>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</si>
  <si>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</si>
  <si>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</si>
  <si>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</si>
  <si>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</si>
  <si>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</si>
  <si>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</si>
  <si>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</si>
  <si>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</si>
  <si>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</si>
  <si>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</si>
  <si>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</si>
  <si>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</si>
  <si>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</si>
  <si>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</si>
  <si>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</si>
  <si>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</si>
  <si>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</si>
  <si>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</si>
  <si>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</si>
  <si>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</si>
  <si>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</si>
  <si>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</si>
  <si>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</si>
  <si>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</si>
  <si>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</si>
  <si>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</si>
  <si>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</si>
  <si>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</si>
  <si>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</si>
  <si>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</si>
  <si>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</si>
  <si>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</si>
  <si>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</si>
  <si>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</si>
  <si>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</si>
  <si>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</si>
  <si>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</si>
  <si>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</si>
  <si>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</si>
  <si>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</si>
  <si>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</si>
  <si>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</si>
  <si>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</si>
  <si>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</si>
  <si>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</si>
  <si>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</si>
  <si>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</si>
  <si>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</si>
  <si>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</si>
  <si>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</si>
  <si>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</si>
  <si>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</si>
  <si>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</si>
  <si>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</si>
  <si>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</si>
  <si>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</si>
  <si>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</si>
  <si>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</si>
  <si>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</si>
  <si>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</si>
  <si>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</si>
  <si>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</si>
  <si>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</si>
  <si>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</si>
  <si>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</si>
  <si>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</si>
  <si>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</si>
  <si>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</si>
  <si>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</si>
  <si>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</si>
  <si>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</si>
  <si>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</si>
  <si>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</si>
  <si>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</si>
  <si>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</si>
  <si>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</si>
  <si>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</si>
  <si>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</si>
  <si>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</si>
  <si>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</si>
  <si>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</si>
  <si>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</si>
  <si>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</si>
  <si>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</si>
  <si>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</si>
  <si>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</si>
  <si>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</si>
  <si>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</si>
  <si>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</si>
  <si>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</si>
  <si>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</si>
  <si>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</si>
  <si>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</si>
  <si>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</si>
  <si>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</si>
  <si>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</si>
  <si>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</si>
  <si>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</si>
  <si>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</si>
  <si>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</si>
  <si>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</si>
  <si>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</si>
  <si>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</si>
  <si>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</si>
  <si>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</si>
  <si>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</si>
  <si>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</si>
  <si>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</si>
  <si>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</si>
  <si>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</si>
  <si>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</si>
  <si>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</si>
  <si>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</si>
  <si>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</si>
  <si>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</si>
  <si>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</si>
  <si>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</si>
  <si>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</si>
  <si>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</si>
  <si>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</si>
  <si>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</si>
  <si>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1.1 Febrero 2025</t>
  </si>
  <si>
    <t>TEMUCO</t>
  </si>
  <si>
    <t>SR. CRISTIAN JARA ORELLANA</t>
  </si>
  <si>
    <t>SRA. EVELYN SOTO SAAVEDRA</t>
  </si>
  <si>
    <t xml:space="preserve">  POSTA DE SALUD RURAL COLLIMALLIN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</si>
</sst>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379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3</v>
      </c>
      <c r="B3" s="106" t="s">
        <v>382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4</v>
      </c>
      <c r="B6" s="177" t="s">
        <v>8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73" t="s">
        <v>378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7</v>
      </c>
      <c r="B11" s="7" t="s">
        <v>380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4" t="s">
        <v>11</v>
      </c>
      <c r="B12" s="7" t="s">
        <v>381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63" t="s">
        <v>18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65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D46" sqref="D4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  POSTA DE SALUD RURAL COLLIMALLIN  ( 121460 )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59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60</v>
      </c>
      <c r="B10" s="283"/>
      <c r="C10" s="283"/>
    </row>
    <row r="11" spans="1:6" ht="12.75" customHeight="1" x14ac:dyDescent="0.2">
      <c r="A11" s="286" t="s">
        <v>61</v>
      </c>
      <c r="B11" s="287"/>
      <c r="C11" s="288"/>
      <c r="D11" s="276" t="s">
        <v>62</v>
      </c>
      <c r="E11" s="276" t="s">
        <v>63</v>
      </c>
      <c r="F11" s="279" t="s">
        <v>64</v>
      </c>
    </row>
    <row r="12" spans="1:6" ht="21.75" customHeight="1" x14ac:dyDescent="0.2">
      <c r="A12" s="289"/>
      <c r="B12" s="290"/>
      <c r="C12" s="291"/>
      <c r="D12" s="278"/>
      <c r="E12" s="278" t="s">
        <v>65</v>
      </c>
      <c r="F12" s="280" t="s">
        <v>65</v>
      </c>
    </row>
    <row r="13" spans="1:6" ht="20.25" customHeight="1" x14ac:dyDescent="0.2">
      <c r="A13" s="43" t="s">
        <v>66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294" t="s">
        <v>68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284" t="s">
        <v>70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71</v>
      </c>
      <c r="B16" s="284" t="s">
        <v>72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73</v>
      </c>
      <c r="B17" s="284" t="s">
        <v>74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75</v>
      </c>
      <c r="B18" s="284" t="s">
        <v>76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77</v>
      </c>
      <c r="B19" s="296" t="s">
        <v>78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79</v>
      </c>
      <c r="B20" s="300" t="s">
        <v>80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81</v>
      </c>
      <c r="B21" s="281"/>
      <c r="C21" s="282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02" t="s">
        <v>83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84</v>
      </c>
      <c r="C23" s="305"/>
      <c r="D23" s="80">
        <f t="shared" ref="D23" si="2">SUM(E23:F23)</f>
        <v>0</v>
      </c>
      <c r="E23" s="78">
        <f>SUM(BM18A!D107:D111)</f>
        <v>0</v>
      </c>
      <c r="F23" s="80">
        <f>SUM(BM18A!E107:E111)</f>
        <v>0</v>
      </c>
    </row>
    <row r="24" spans="1:6" ht="17.25" customHeight="1" x14ac:dyDescent="0.2">
      <c r="A24" s="276"/>
      <c r="B24" s="306" t="s">
        <v>85</v>
      </c>
      <c r="C24" s="187" t="s">
        <v>86</v>
      </c>
      <c r="D24" s="78">
        <f>SUM(F24)</f>
        <v>0</v>
      </c>
      <c r="E24" s="186"/>
      <c r="F24" s="101"/>
    </row>
    <row r="25" spans="1:6" ht="17.25" customHeight="1" x14ac:dyDescent="0.2">
      <c r="A25" s="277"/>
      <c r="B25" s="293"/>
      <c r="C25" s="134" t="s">
        <v>87</v>
      </c>
      <c r="D25" s="80">
        <f>SUM(F25)</f>
        <v>0</v>
      </c>
      <c r="E25" s="100"/>
      <c r="F25" s="93"/>
    </row>
    <row r="26" spans="1:6" ht="17.25" customHeight="1" x14ac:dyDescent="0.2">
      <c r="A26" s="277"/>
      <c r="B26" s="292" t="s">
        <v>88</v>
      </c>
      <c r="C26" s="133" t="s">
        <v>86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77"/>
      <c r="B27" s="293"/>
      <c r="C27" s="134" t="s">
        <v>87</v>
      </c>
      <c r="D27" s="80">
        <f t="shared" si="3"/>
        <v>0</v>
      </c>
      <c r="E27" s="92"/>
      <c r="F27" s="93"/>
    </row>
    <row r="28" spans="1:6" ht="17.25" customHeight="1" x14ac:dyDescent="0.2">
      <c r="A28" s="277"/>
      <c r="B28" s="292" t="s">
        <v>89</v>
      </c>
      <c r="C28" s="133" t="s">
        <v>86</v>
      </c>
      <c r="D28" s="82">
        <f t="shared" si="3"/>
        <v>0</v>
      </c>
      <c r="E28" s="94"/>
      <c r="F28" s="95"/>
    </row>
    <row r="29" spans="1:6" ht="17.25" customHeight="1" x14ac:dyDescent="0.2">
      <c r="A29" s="277"/>
      <c r="B29" s="293"/>
      <c r="C29" s="134" t="s">
        <v>87</v>
      </c>
      <c r="D29" s="80">
        <f t="shared" si="3"/>
        <v>0</v>
      </c>
      <c r="E29" s="92"/>
      <c r="F29" s="93"/>
    </row>
    <row r="30" spans="1:6" ht="17.25" customHeight="1" x14ac:dyDescent="0.2">
      <c r="A30" s="277"/>
      <c r="B30" s="292" t="s">
        <v>90</v>
      </c>
      <c r="C30" s="133" t="s">
        <v>86</v>
      </c>
      <c r="D30" s="82">
        <f t="shared" si="3"/>
        <v>0</v>
      </c>
      <c r="E30" s="94"/>
      <c r="F30" s="95"/>
    </row>
    <row r="31" spans="1:6" ht="17.25" customHeight="1" x14ac:dyDescent="0.2">
      <c r="A31" s="277"/>
      <c r="B31" s="293"/>
      <c r="C31" s="134" t="s">
        <v>87</v>
      </c>
      <c r="D31" s="80">
        <f t="shared" si="3"/>
        <v>0</v>
      </c>
      <c r="E31" s="92"/>
      <c r="F31" s="93"/>
    </row>
    <row r="32" spans="1:6" ht="17.25" customHeight="1" x14ac:dyDescent="0.2">
      <c r="A32" s="277"/>
      <c r="B32" s="29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277"/>
      <c r="B34" s="292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93</v>
      </c>
      <c r="C36" s="133" t="s">
        <v>86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369</v>
      </c>
      <c r="B39" s="11"/>
    </row>
    <row r="40" spans="1:6" ht="12.75" customHeight="1" x14ac:dyDescent="0.2">
      <c r="A40" s="279" t="s">
        <v>94</v>
      </c>
      <c r="B40" s="279" t="s">
        <v>62</v>
      </c>
      <c r="C40" s="276" t="s">
        <v>63</v>
      </c>
      <c r="D40" s="279" t="s">
        <v>64</v>
      </c>
    </row>
    <row r="41" spans="1:6" ht="25.5" customHeight="1" x14ac:dyDescent="0.2">
      <c r="A41" s="280"/>
      <c r="B41" s="307"/>
      <c r="C41" s="278" t="s">
        <v>65</v>
      </c>
      <c r="D41" s="280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BM18A!D151</f>
        <v>0</v>
      </c>
      <c r="D43" s="83">
        <f>BM18A!E151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99</v>
      </c>
      <c r="B46" s="79">
        <f t="shared" si="4"/>
        <v>13</v>
      </c>
      <c r="C46" s="83">
        <f>BM18A!D141</f>
        <v>0</v>
      </c>
      <c r="D46" s="83">
        <f>BM18A!E141</f>
        <v>13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103</v>
      </c>
      <c r="B50" s="90">
        <f t="shared" si="4"/>
        <v>4</v>
      </c>
      <c r="C50" s="79">
        <f>BM18A!D170</f>
        <v>0</v>
      </c>
      <c r="D50" s="79">
        <f>BM18A!E170</f>
        <v>4</v>
      </c>
    </row>
    <row r="51" spans="1:4" ht="16.5" customHeight="1" x14ac:dyDescent="0.2">
      <c r="A51" s="246" t="s">
        <v>104</v>
      </c>
      <c r="B51" s="90">
        <f t="shared" si="4"/>
        <v>64</v>
      </c>
      <c r="C51" s="81">
        <f>BM18A!D199</f>
        <v>0</v>
      </c>
      <c r="D51" s="81">
        <f>BM18A!E199</f>
        <v>64</v>
      </c>
    </row>
    <row r="52" spans="1:4" ht="17.25" customHeight="1" x14ac:dyDescent="0.2">
      <c r="A52" s="91" t="s">
        <v>62</v>
      </c>
      <c r="B52" s="77">
        <f>SUM(B42:B51)</f>
        <v>81</v>
      </c>
      <c r="C52" s="77">
        <f>SUM(C42:C51)</f>
        <v>0</v>
      </c>
      <c r="D52" s="77">
        <f>SUM(D42:D51)</f>
        <v>81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15" t="s">
        <v>106</v>
      </c>
      <c r="B55" s="313" t="s">
        <v>62</v>
      </c>
    </row>
    <row r="56" spans="1:4" x14ac:dyDescent="0.2">
      <c r="A56" s="316"/>
      <c r="B56" s="314"/>
    </row>
    <row r="57" spans="1:4" ht="17.25" customHeight="1" x14ac:dyDescent="0.2">
      <c r="A57" s="116" t="s">
        <v>107</v>
      </c>
      <c r="B57" s="222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11" t="s">
        <v>109</v>
      </c>
      <c r="B59" s="312"/>
      <c r="C59" s="103" t="s">
        <v>110</v>
      </c>
      <c r="D59" s="104" t="s">
        <v>111</v>
      </c>
    </row>
    <row r="60" spans="1:4" ht="16.5" customHeight="1" x14ac:dyDescent="0.2">
      <c r="A60" s="308" t="s">
        <v>112</v>
      </c>
      <c r="B60" s="223" t="s">
        <v>113</v>
      </c>
      <c r="C60" s="87"/>
      <c r="D60" s="84"/>
    </row>
    <row r="61" spans="1:4" ht="16.5" customHeight="1" x14ac:dyDescent="0.2">
      <c r="A61" s="309"/>
      <c r="B61" s="12" t="s">
        <v>114</v>
      </c>
      <c r="C61" s="88"/>
      <c r="D61" s="85"/>
    </row>
    <row r="62" spans="1:4" ht="16.5" customHeight="1" x14ac:dyDescent="0.2">
      <c r="A62" s="310"/>
      <c r="B62" s="13" t="s">
        <v>115</v>
      </c>
      <c r="C62" s="89"/>
      <c r="D62" s="86"/>
    </row>
    <row r="96" spans="1:1" hidden="1" x14ac:dyDescent="0.2">
      <c r="A96" s="236">
        <f>SUM(D13:D37,B42:B52,B57,C60:C62)</f>
        <v>162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31" zoomScaleNormal="100" workbookViewId="0">
      <selection activeCell="G192" sqref="G19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  POSTA DE SALUD RURAL COLLIMALLIN  ( 121460 )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116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41" t="s">
        <v>1</v>
      </c>
      <c r="B10" s="323" t="s">
        <v>61</v>
      </c>
      <c r="C10" s="337" t="s">
        <v>62</v>
      </c>
      <c r="D10" s="323" t="s">
        <v>63</v>
      </c>
      <c r="E10" s="342" t="s">
        <v>64</v>
      </c>
      <c r="F10" s="323" t="s">
        <v>117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118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374</v>
      </c>
      <c r="B18" s="121" t="s">
        <v>375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62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131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132</v>
      </c>
      <c r="B23" s="121" t="s">
        <v>133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136</v>
      </c>
      <c r="B25" s="121" t="s">
        <v>137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138</v>
      </c>
      <c r="B26" s="121" t="s">
        <v>139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140</v>
      </c>
      <c r="B27" s="121" t="s">
        <v>141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142</v>
      </c>
      <c r="B28" s="121" t="s">
        <v>143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144</v>
      </c>
      <c r="B29" s="121" t="s">
        <v>145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146</v>
      </c>
      <c r="B30" s="121" t="s">
        <v>147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148</v>
      </c>
      <c r="B31" s="121" t="s">
        <v>149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150</v>
      </c>
      <c r="B32" s="121" t="s">
        <v>151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152</v>
      </c>
      <c r="B33" s="121" t="s">
        <v>153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154</v>
      </c>
      <c r="B34" s="121" t="s">
        <v>155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156</v>
      </c>
      <c r="B35" s="121" t="s">
        <v>157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158</v>
      </c>
      <c r="B36" s="121" t="s">
        <v>159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160</v>
      </c>
      <c r="B37" s="121" t="s">
        <v>161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376</v>
      </c>
      <c r="B38" s="121" t="s">
        <v>377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162</v>
      </c>
      <c r="B39" s="121" t="s">
        <v>163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62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164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165</v>
      </c>
      <c r="B43" s="211" t="s">
        <v>166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167</v>
      </c>
      <c r="B44" s="121" t="s">
        <v>168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169</v>
      </c>
      <c r="B45" s="121" t="s">
        <v>170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62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74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171</v>
      </c>
      <c r="B49" s="211" t="s">
        <v>172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173</v>
      </c>
      <c r="B50" s="121" t="s">
        <v>174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62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76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175</v>
      </c>
      <c r="B54" s="121" t="s">
        <v>176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177</v>
      </c>
      <c r="B55" s="121" t="s">
        <v>178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179</v>
      </c>
      <c r="B56" s="121" t="s">
        <v>180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181</v>
      </c>
      <c r="B57" s="121" t="s">
        <v>182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183</v>
      </c>
      <c r="B58" s="121" t="s">
        <v>184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185</v>
      </c>
      <c r="B59" s="121" t="s">
        <v>186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187</v>
      </c>
      <c r="B60" s="121" t="s">
        <v>188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189</v>
      </c>
      <c r="B61" s="121" t="s">
        <v>190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191</v>
      </c>
      <c r="B62" s="121" t="s">
        <v>192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193</v>
      </c>
      <c r="B63" s="121" t="s">
        <v>194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195</v>
      </c>
      <c r="B64" s="121" t="s">
        <v>196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197</v>
      </c>
      <c r="B65" s="129" t="s">
        <v>198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62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199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200</v>
      </c>
      <c r="B69" s="121" t="s">
        <v>201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202</v>
      </c>
      <c r="B70" s="121" t="s">
        <v>203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62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204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205</v>
      </c>
      <c r="B74" s="121" t="s">
        <v>206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207</v>
      </c>
      <c r="B75" s="121" t="s">
        <v>208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209</v>
      </c>
      <c r="B76" s="121" t="s">
        <v>210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211</v>
      </c>
      <c r="B77" s="121" t="s">
        <v>212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213</v>
      </c>
      <c r="B78" s="121" t="s">
        <v>214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215</v>
      </c>
      <c r="B79" s="121" t="s">
        <v>216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217</v>
      </c>
      <c r="B80" s="121" t="s">
        <v>218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62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219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220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221</v>
      </c>
      <c r="B85" s="128" t="s">
        <v>222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223</v>
      </c>
      <c r="B86" s="121" t="s">
        <v>224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225</v>
      </c>
      <c r="B87" s="121" t="s">
        <v>226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227</v>
      </c>
      <c r="B88" s="121" t="s">
        <v>228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229</v>
      </c>
      <c r="B89" s="121" t="s">
        <v>230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231</v>
      </c>
      <c r="B90" s="121" t="s">
        <v>232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233</v>
      </c>
      <c r="B91" s="121" t="s">
        <v>234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235</v>
      </c>
      <c r="B92" s="121" t="s">
        <v>236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237</v>
      </c>
      <c r="B93" s="121" t="s">
        <v>238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239</v>
      </c>
      <c r="B94" s="121" t="s">
        <v>240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241</v>
      </c>
      <c r="B95" s="121" t="s">
        <v>242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243</v>
      </c>
      <c r="B96" s="121" t="s">
        <v>244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245</v>
      </c>
      <c r="B97" s="121" t="s">
        <v>246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247</v>
      </c>
      <c r="B98" s="121" t="s">
        <v>248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249</v>
      </c>
      <c r="B99" s="121" t="s">
        <v>250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251</v>
      </c>
      <c r="B100" s="121" t="s">
        <v>252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253</v>
      </c>
      <c r="B101" s="121" t="s">
        <v>254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255</v>
      </c>
      <c r="B102" s="121" t="s">
        <v>256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257</v>
      </c>
      <c r="B103" s="121" t="s">
        <v>258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259</v>
      </c>
      <c r="B104" s="121" t="s">
        <v>260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261</v>
      </c>
      <c r="B105" s="121" t="s">
        <v>262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263</v>
      </c>
      <c r="B106" s="121" t="s">
        <v>264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265</v>
      </c>
      <c r="B107" s="121" t="s">
        <v>266</v>
      </c>
      <c r="C107" s="64">
        <f t="shared" ref="C107:C111" si="12">SUM(D107:E107)</f>
        <v>0</v>
      </c>
      <c r="D107" s="65"/>
      <c r="E107" s="114"/>
      <c r="F107" s="65"/>
    </row>
    <row r="108" spans="1:6" ht="15" customHeight="1" x14ac:dyDescent="0.2">
      <c r="A108" s="57" t="s">
        <v>267</v>
      </c>
      <c r="B108" s="121" t="s">
        <v>268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269</v>
      </c>
      <c r="B109" s="121" t="s">
        <v>270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271</v>
      </c>
      <c r="B110" s="121" t="s">
        <v>272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273</v>
      </c>
      <c r="B111" s="192" t="s">
        <v>274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370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94</v>
      </c>
      <c r="C114" s="323" t="s">
        <v>65</v>
      </c>
      <c r="D114" s="323" t="s">
        <v>63</v>
      </c>
      <c r="E114" s="323" t="s">
        <v>64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275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276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277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278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279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62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371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280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281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282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283</v>
      </c>
      <c r="C127" s="195">
        <f t="shared" si="14"/>
        <v>0</v>
      </c>
      <c r="D127" s="196"/>
      <c r="E127" s="196"/>
    </row>
    <row r="128" spans="1:5" ht="18" customHeight="1" x14ac:dyDescent="0.2">
      <c r="A128" s="60">
        <v>1602222</v>
      </c>
      <c r="B128" s="121" t="s">
        <v>284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285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286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287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288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62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289</v>
      </c>
      <c r="B135" s="320"/>
      <c r="C135" s="126"/>
      <c r="D135" s="126"/>
      <c r="E135" s="201"/>
    </row>
    <row r="136" spans="1:5" ht="15" customHeight="1" x14ac:dyDescent="0.2">
      <c r="A136" s="59" t="s">
        <v>290</v>
      </c>
      <c r="B136" s="128" t="s">
        <v>291</v>
      </c>
      <c r="C136" s="70">
        <f>SUM(D136:E136)</f>
        <v>10</v>
      </c>
      <c r="D136" s="207"/>
      <c r="E136" s="68">
        <v>10</v>
      </c>
    </row>
    <row r="137" spans="1:5" ht="15" customHeight="1" x14ac:dyDescent="0.2">
      <c r="A137" s="60" t="s">
        <v>292</v>
      </c>
      <c r="B137" s="121" t="s">
        <v>372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373</v>
      </c>
      <c r="C138" s="73">
        <f>SUM(D138:E138)</f>
        <v>3</v>
      </c>
      <c r="D138" s="209"/>
      <c r="E138" s="206">
        <v>3</v>
      </c>
    </row>
    <row r="139" spans="1:5" ht="15" customHeight="1" x14ac:dyDescent="0.2">
      <c r="A139" s="60"/>
      <c r="B139" s="121" t="s">
        <v>293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294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62</v>
      </c>
      <c r="B141" s="318"/>
      <c r="C141" s="166">
        <f>SUM(C136:C140)</f>
        <v>13</v>
      </c>
      <c r="D141" s="166">
        <f t="shared" ref="D141" si="16">SUM(D136:D140)</f>
        <v>0</v>
      </c>
      <c r="E141" s="166">
        <f>SUM(E136:E140)</f>
        <v>13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295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296</v>
      </c>
      <c r="C144" s="212">
        <f>SUM(D144:E144)</f>
        <v>0</v>
      </c>
      <c r="D144" s="234"/>
      <c r="E144" s="213"/>
    </row>
    <row r="145" spans="1:5" ht="15" customHeight="1" x14ac:dyDescent="0.2">
      <c r="A145" s="60">
        <v>1707002</v>
      </c>
      <c r="B145" s="121" t="s">
        <v>297</v>
      </c>
      <c r="C145" s="75">
        <f t="shared" ref="C145:C147" si="17">SUM(D145:E145)</f>
        <v>0</v>
      </c>
      <c r="D145" s="232"/>
      <c r="E145" s="65"/>
    </row>
    <row r="146" spans="1:5" ht="15" customHeight="1" x14ac:dyDescent="0.2">
      <c r="A146" s="60">
        <v>1707004</v>
      </c>
      <c r="B146" s="121" t="s">
        <v>298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299</v>
      </c>
      <c r="C147" s="131">
        <f t="shared" si="17"/>
        <v>0</v>
      </c>
      <c r="D147" s="235"/>
      <c r="E147" s="67"/>
    </row>
    <row r="148" spans="1:5" ht="15" customHeight="1" x14ac:dyDescent="0.2">
      <c r="A148" s="62" t="s">
        <v>300</v>
      </c>
      <c r="B148" s="121" t="s">
        <v>301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302</v>
      </c>
      <c r="B149" s="121" t="s">
        <v>303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304</v>
      </c>
      <c r="B150" s="121" t="s">
        <v>305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62</v>
      </c>
      <c r="B151" s="318"/>
      <c r="C151" s="72">
        <f>SUM(C144:C150)</f>
        <v>0</v>
      </c>
      <c r="D151" s="227">
        <f t="shared" ref="D151:E151" si="18">SUM(D144:D150)</f>
        <v>0</v>
      </c>
      <c r="E151" s="72">
        <f t="shared" si="18"/>
        <v>0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306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307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308</v>
      </c>
      <c r="B155" s="121" t="s">
        <v>309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310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62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311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312</v>
      </c>
      <c r="C160" s="214">
        <f>SUM(D160:E160)</f>
        <v>0</v>
      </c>
      <c r="D160" s="225"/>
      <c r="E160" s="230"/>
    </row>
    <row r="161" spans="1:5" ht="15" customHeight="1" x14ac:dyDescent="0.2">
      <c r="A161" s="61">
        <v>1901022</v>
      </c>
      <c r="B161" s="129" t="s">
        <v>313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62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314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315</v>
      </c>
      <c r="C165" s="195">
        <f>SUM(D165:E165)</f>
        <v>0</v>
      </c>
      <c r="D165" s="260"/>
      <c r="E165" s="63"/>
    </row>
    <row r="166" spans="1:5" ht="15" customHeight="1" x14ac:dyDescent="0.2">
      <c r="A166" s="60"/>
      <c r="B166" s="121" t="s">
        <v>316</v>
      </c>
      <c r="C166" s="195">
        <f>SUM(D166:E166)</f>
        <v>0</v>
      </c>
      <c r="D166" s="65"/>
      <c r="E166" s="65"/>
    </row>
    <row r="167" spans="1:5" ht="15" customHeight="1" x14ac:dyDescent="0.2">
      <c r="A167" s="60">
        <v>2001015</v>
      </c>
      <c r="B167" s="211" t="s">
        <v>317</v>
      </c>
      <c r="C167" s="75">
        <f>SUM(D167:E167)</f>
        <v>0</v>
      </c>
      <c r="D167" s="65"/>
      <c r="E167" s="65"/>
    </row>
    <row r="168" spans="1:5" ht="15" customHeight="1" x14ac:dyDescent="0.2">
      <c r="A168" s="60"/>
      <c r="B168" s="121" t="s">
        <v>318</v>
      </c>
      <c r="C168" s="75">
        <f t="shared" ref="C168:C169" si="19">SUM(D168:E168)</f>
        <v>4</v>
      </c>
      <c r="D168" s="65"/>
      <c r="E168" s="65">
        <v>4</v>
      </c>
    </row>
    <row r="169" spans="1:5" ht="15" customHeight="1" x14ac:dyDescent="0.2">
      <c r="A169" s="215"/>
      <c r="B169" s="211" t="s">
        <v>319</v>
      </c>
      <c r="C169" s="75">
        <f t="shared" si="19"/>
        <v>0</v>
      </c>
      <c r="D169" s="216"/>
      <c r="E169" s="216"/>
    </row>
    <row r="170" spans="1:5" ht="11.25" x14ac:dyDescent="0.2">
      <c r="A170" s="317" t="s">
        <v>62</v>
      </c>
      <c r="B170" s="318"/>
      <c r="C170" s="159">
        <f>SUM(C165:C169)</f>
        <v>4</v>
      </c>
      <c r="D170" s="159">
        <f t="shared" ref="D170:E170" si="20">SUM(D165:D169)</f>
        <v>0</v>
      </c>
      <c r="E170" s="159">
        <f t="shared" si="20"/>
        <v>4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320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321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322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323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324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325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326</v>
      </c>
      <c r="C178" s="131">
        <f t="shared" si="21"/>
        <v>0</v>
      </c>
      <c r="D178" s="67"/>
      <c r="E178" s="249"/>
    </row>
    <row r="179" spans="1:5" ht="11.25" x14ac:dyDescent="0.2">
      <c r="A179" s="317" t="s">
        <v>62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104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327</v>
      </c>
      <c r="C182" s="195">
        <f t="shared" ref="C182:C187" si="22">SUM(D182:E182)</f>
        <v>10</v>
      </c>
      <c r="D182" s="252"/>
      <c r="E182" s="196">
        <v>10</v>
      </c>
    </row>
    <row r="183" spans="1:5" ht="15" customHeight="1" x14ac:dyDescent="0.2">
      <c r="A183" s="217"/>
      <c r="B183" s="121" t="s">
        <v>328</v>
      </c>
      <c r="C183" s="195">
        <f t="shared" si="22"/>
        <v>0</v>
      </c>
      <c r="D183" s="253"/>
      <c r="E183" s="196"/>
    </row>
    <row r="184" spans="1:5" ht="15" customHeight="1" x14ac:dyDescent="0.2">
      <c r="A184" s="60" t="s">
        <v>329</v>
      </c>
      <c r="B184" s="121" t="s">
        <v>330</v>
      </c>
      <c r="C184" s="195">
        <f t="shared" si="22"/>
        <v>12</v>
      </c>
      <c r="D184" s="225"/>
      <c r="E184" s="196">
        <v>12</v>
      </c>
    </row>
    <row r="185" spans="1:5" ht="15" customHeight="1" x14ac:dyDescent="0.2">
      <c r="A185" s="62"/>
      <c r="B185" s="129" t="s">
        <v>331</v>
      </c>
      <c r="C185" s="195">
        <f t="shared" si="22"/>
        <v>0</v>
      </c>
      <c r="D185" s="225"/>
      <c r="E185" s="196"/>
    </row>
    <row r="186" spans="1:5" ht="15" customHeight="1" x14ac:dyDescent="0.2">
      <c r="A186" s="62"/>
      <c r="B186" s="129" t="s">
        <v>332</v>
      </c>
      <c r="C186" s="195">
        <f t="shared" si="22"/>
        <v>0</v>
      </c>
      <c r="D186" s="225"/>
      <c r="E186" s="196"/>
    </row>
    <row r="187" spans="1:5" ht="15" customHeight="1" x14ac:dyDescent="0.2">
      <c r="A187" s="218"/>
      <c r="B187" s="129" t="s">
        <v>333</v>
      </c>
      <c r="C187" s="214">
        <f t="shared" si="22"/>
        <v>0</v>
      </c>
      <c r="D187" s="253"/>
      <c r="E187" s="254"/>
    </row>
    <row r="188" spans="1:5" ht="15" customHeight="1" x14ac:dyDescent="0.2">
      <c r="A188" s="62"/>
      <c r="B188" s="129" t="s">
        <v>334</v>
      </c>
      <c r="C188" s="195">
        <f t="shared" ref="C188:C198" si="23">SUM(D188:E188)</f>
        <v>7</v>
      </c>
      <c r="D188" s="225"/>
      <c r="E188" s="196">
        <v>7</v>
      </c>
    </row>
    <row r="189" spans="1:5" ht="15" customHeight="1" x14ac:dyDescent="0.2">
      <c r="A189" s="62" t="s">
        <v>335</v>
      </c>
      <c r="B189" s="121" t="s">
        <v>336</v>
      </c>
      <c r="C189" s="195">
        <f t="shared" si="23"/>
        <v>0</v>
      </c>
      <c r="D189" s="225"/>
      <c r="E189" s="196"/>
    </row>
    <row r="190" spans="1:5" ht="15" customHeight="1" x14ac:dyDescent="0.2">
      <c r="A190" s="62" t="s">
        <v>337</v>
      </c>
      <c r="B190" s="121" t="s">
        <v>338</v>
      </c>
      <c r="C190" s="195">
        <f t="shared" si="23"/>
        <v>0</v>
      </c>
      <c r="D190" s="225"/>
      <c r="E190" s="196"/>
    </row>
    <row r="191" spans="1:5" ht="15" customHeight="1" x14ac:dyDescent="0.2">
      <c r="A191" s="62" t="s">
        <v>339</v>
      </c>
      <c r="B191" s="121" t="s">
        <v>340</v>
      </c>
      <c r="C191" s="195">
        <f t="shared" si="23"/>
        <v>0</v>
      </c>
      <c r="D191" s="225"/>
      <c r="E191" s="196"/>
    </row>
    <row r="192" spans="1:5" ht="15" customHeight="1" x14ac:dyDescent="0.2">
      <c r="A192" s="62" t="s">
        <v>341</v>
      </c>
      <c r="B192" s="121" t="s">
        <v>342</v>
      </c>
      <c r="C192" s="195">
        <f t="shared" si="23"/>
        <v>0</v>
      </c>
      <c r="D192" s="225"/>
      <c r="E192" s="196"/>
    </row>
    <row r="193" spans="1:5" ht="15" customHeight="1" x14ac:dyDescent="0.2">
      <c r="A193" s="62" t="s">
        <v>343</v>
      </c>
      <c r="B193" s="121" t="s">
        <v>344</v>
      </c>
      <c r="C193" s="195">
        <f t="shared" si="23"/>
        <v>0</v>
      </c>
      <c r="D193" s="225"/>
      <c r="E193" s="196"/>
    </row>
    <row r="194" spans="1:5" ht="15" customHeight="1" x14ac:dyDescent="0.2">
      <c r="A194" s="62" t="s">
        <v>345</v>
      </c>
      <c r="B194" s="121" t="s">
        <v>346</v>
      </c>
      <c r="C194" s="195">
        <f t="shared" si="23"/>
        <v>0</v>
      </c>
      <c r="D194" s="225"/>
      <c r="E194" s="196"/>
    </row>
    <row r="195" spans="1:5" ht="15" customHeight="1" x14ac:dyDescent="0.2">
      <c r="A195" s="62" t="s">
        <v>347</v>
      </c>
      <c r="B195" s="121" t="s">
        <v>348</v>
      </c>
      <c r="C195" s="195">
        <f t="shared" si="23"/>
        <v>9</v>
      </c>
      <c r="D195" s="225"/>
      <c r="E195" s="196">
        <v>9</v>
      </c>
    </row>
    <row r="196" spans="1:5" ht="15" customHeight="1" x14ac:dyDescent="0.2">
      <c r="A196" s="62" t="s">
        <v>349</v>
      </c>
      <c r="B196" s="121" t="s">
        <v>350</v>
      </c>
      <c r="C196" s="195">
        <f t="shared" si="23"/>
        <v>0</v>
      </c>
      <c r="D196" s="225"/>
      <c r="E196" s="196"/>
    </row>
    <row r="197" spans="1:5" ht="15" customHeight="1" x14ac:dyDescent="0.2">
      <c r="A197" s="62" t="s">
        <v>351</v>
      </c>
      <c r="B197" s="121" t="s">
        <v>352</v>
      </c>
      <c r="C197" s="195">
        <f t="shared" si="23"/>
        <v>26</v>
      </c>
      <c r="D197" s="225"/>
      <c r="E197" s="196">
        <v>26</v>
      </c>
    </row>
    <row r="198" spans="1:5" ht="15" customHeight="1" x14ac:dyDescent="0.2">
      <c r="A198" s="62" t="s">
        <v>353</v>
      </c>
      <c r="B198" s="192" t="s">
        <v>354</v>
      </c>
      <c r="C198" s="195">
        <f t="shared" si="23"/>
        <v>0</v>
      </c>
      <c r="D198" s="226"/>
      <c r="E198" s="196"/>
    </row>
    <row r="199" spans="1:5" ht="15" customHeight="1" x14ac:dyDescent="0.2">
      <c r="A199" s="317" t="s">
        <v>62</v>
      </c>
      <c r="B199" s="318"/>
      <c r="C199" s="72">
        <f>SUM(C182:C198)</f>
        <v>64</v>
      </c>
      <c r="D199" s="227">
        <f t="shared" ref="D199:E199" si="24">SUM(D182:D198)</f>
        <v>0</v>
      </c>
      <c r="E199" s="72">
        <f t="shared" si="24"/>
        <v>64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355</v>
      </c>
      <c r="C2" s="16" t="s">
        <v>356</v>
      </c>
      <c r="D2" s="17" t="s">
        <v>357</v>
      </c>
    </row>
    <row r="3" spans="2:4" ht="19.5" customHeight="1" x14ac:dyDescent="0.2">
      <c r="B3" s="25" t="s">
        <v>358</v>
      </c>
      <c r="C3" s="24" t="s">
        <v>359</v>
      </c>
      <c r="D3" s="19">
        <f>+NOMBRE!AG2</f>
        <v>0</v>
      </c>
    </row>
    <row r="4" spans="2:4" ht="19.5" customHeight="1" x14ac:dyDescent="0.2">
      <c r="B4" s="25" t="s">
        <v>358</v>
      </c>
      <c r="C4" s="24" t="s">
        <v>360</v>
      </c>
      <c r="D4" s="19">
        <f>+NOMBRE!AG3</f>
        <v>0</v>
      </c>
    </row>
    <row r="5" spans="2:4" ht="19.5" customHeight="1" x14ac:dyDescent="0.2">
      <c r="B5" s="25" t="s">
        <v>358</v>
      </c>
      <c r="C5" s="24" t="s">
        <v>361</v>
      </c>
      <c r="D5" s="19">
        <f>+NOMBRE!AG6</f>
        <v>0</v>
      </c>
    </row>
    <row r="6" spans="2:4" ht="31.5" customHeight="1" thickBot="1" x14ac:dyDescent="0.25">
      <c r="B6" s="51" t="s">
        <v>368</v>
      </c>
      <c r="C6" s="224" t="s">
        <v>367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362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364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  POSTA DE SALUD RURAL COLLIMALLIN - 121460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365</v>
      </c>
      <c r="E5" s="149"/>
      <c r="F5" s="150"/>
      <c r="G5" s="150"/>
      <c r="H5" s="151"/>
    </row>
    <row r="6" spans="1:14" ht="27.75" customHeight="1" x14ac:dyDescent="0.2">
      <c r="B6" s="156" t="s">
        <v>366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2025-02-06T18:34:33Z</dcterms:modified>
  <cp:category/>
  <cp:contentStatus/>
</cp:coreProperties>
</file>