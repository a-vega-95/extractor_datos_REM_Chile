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marta.vega\Documents\compartidos\REM 2025\350 LABRANZA\"/>
    </mc:Choice>
  </mc:AlternateContent>
  <xr:revisionPtr revIDLastSave="0" documentId="13_ncr:1_{83666548-DC40-431A-BD27-678F662999CB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-120" yWindow="-120" windowWidth="29040" windowHeight="15840" tabRatio="765" firstSheet="2" activeTab="2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7" i="19" l="1"/>
  <c r="D45" i="16"/>
  <c r="C45" i="16"/>
  <c r="D44" i="16"/>
  <c r="C44" i="16"/>
  <c r="F23" i="16"/>
  <c r="E23" i="16"/>
  <c r="E22" i="16"/>
  <c r="D199" i="19"/>
  <c r="C51" i="16" s="1"/>
  <c r="E199" i="19"/>
  <c r="D51" i="16" s="1"/>
  <c r="D170" i="19"/>
  <c r="C50" i="16" s="1"/>
  <c r="E170" i="19"/>
  <c r="D50" i="16" s="1"/>
  <c r="C168" i="19"/>
  <c r="C169" i="19"/>
  <c r="C160" i="19"/>
  <c r="D151" i="19"/>
  <c r="E151" i="19"/>
  <c r="D141" i="19"/>
  <c r="E141" i="19"/>
  <c r="D133" i="19"/>
  <c r="E133" i="19"/>
  <c r="C139" i="19"/>
  <c r="C126" i="19"/>
  <c r="C125" i="19"/>
  <c r="C38" i="19"/>
  <c r="C39" i="19"/>
  <c r="C196" i="19"/>
  <c r="C197" i="19"/>
  <c r="C154" i="19"/>
  <c r="E21" i="16" l="1"/>
  <c r="B51" i="16"/>
  <c r="B45" i="16"/>
  <c r="C136" i="19" l="1"/>
  <c r="C138" i="19"/>
  <c r="C137" i="19"/>
  <c r="C46" i="16"/>
  <c r="A4" i="19" l="1"/>
  <c r="A3" i="19"/>
  <c r="A2" i="19"/>
  <c r="A4" i="16"/>
  <c r="A3" i="16"/>
  <c r="A2" i="16"/>
  <c r="D34" i="16" l="1"/>
  <c r="D25" i="16"/>
  <c r="D24" i="16"/>
  <c r="C183" i="19"/>
  <c r="C140" i="19"/>
  <c r="C141" i="19" s="1"/>
  <c r="C182" i="19"/>
  <c r="C166" i="19"/>
  <c r="C165" i="19"/>
  <c r="C187" i="19"/>
  <c r="C198" i="19"/>
  <c r="C150" i="19"/>
  <c r="C149" i="19"/>
  <c r="C195" i="19"/>
  <c r="C194" i="19"/>
  <c r="C193" i="19"/>
  <c r="C192" i="19"/>
  <c r="C191" i="19"/>
  <c r="C190" i="19"/>
  <c r="C155" i="19"/>
  <c r="C189" i="19"/>
  <c r="C188" i="19"/>
  <c r="C186" i="19"/>
  <c r="C148" i="19"/>
  <c r="C185" i="19"/>
  <c r="C184" i="19"/>
  <c r="C132" i="19"/>
  <c r="C131" i="19"/>
  <c r="C130" i="19"/>
  <c r="C129" i="19"/>
  <c r="C128" i="19"/>
  <c r="C127" i="19"/>
  <c r="D179" i="19"/>
  <c r="C178" i="19"/>
  <c r="C177" i="19"/>
  <c r="C176" i="19"/>
  <c r="C175" i="19"/>
  <c r="C174" i="19"/>
  <c r="C173" i="19"/>
  <c r="C167" i="19"/>
  <c r="C161" i="19"/>
  <c r="D43" i="16"/>
  <c r="C147" i="19"/>
  <c r="C146" i="19"/>
  <c r="C145" i="19"/>
  <c r="C144" i="19"/>
  <c r="C124" i="19"/>
  <c r="C117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C91" i="19"/>
  <c r="C90" i="19"/>
  <c r="C89" i="19"/>
  <c r="C88" i="19"/>
  <c r="C87" i="19"/>
  <c r="C86" i="19"/>
  <c r="C85" i="19"/>
  <c r="E81" i="19"/>
  <c r="D81" i="19"/>
  <c r="F71" i="19"/>
  <c r="D71" i="19"/>
  <c r="C70" i="19"/>
  <c r="C69" i="19"/>
  <c r="C65" i="19"/>
  <c r="C64" i="19"/>
  <c r="C63" i="19"/>
  <c r="C62" i="19"/>
  <c r="C61" i="19"/>
  <c r="C60" i="19"/>
  <c r="C59" i="19"/>
  <c r="C58" i="19"/>
  <c r="C57" i="19"/>
  <c r="C56" i="19"/>
  <c r="C55" i="19"/>
  <c r="C54" i="19"/>
  <c r="C50" i="19"/>
  <c r="C49" i="19"/>
  <c r="C45" i="19"/>
  <c r="C44" i="19"/>
  <c r="C43" i="19"/>
  <c r="D40" i="19"/>
  <c r="C36" i="19"/>
  <c r="C35" i="19"/>
  <c r="C34" i="19"/>
  <c r="C33" i="19"/>
  <c r="C32" i="19"/>
  <c r="C31" i="19"/>
  <c r="C30" i="19"/>
  <c r="C29" i="19"/>
  <c r="C28" i="19"/>
  <c r="C27" i="19"/>
  <c r="C26" i="19"/>
  <c r="C25" i="19"/>
  <c r="C24" i="19"/>
  <c r="C23" i="19"/>
  <c r="D20" i="19"/>
  <c r="E14" i="16" s="1"/>
  <c r="D121" i="19"/>
  <c r="C42" i="16" s="1"/>
  <c r="C120" i="19"/>
  <c r="C119" i="19"/>
  <c r="C118" i="19"/>
  <c r="E162" i="19"/>
  <c r="D48" i="16" s="1"/>
  <c r="E157" i="19"/>
  <c r="D47" i="16" s="1"/>
  <c r="D46" i="16"/>
  <c r="E121" i="19"/>
  <c r="D42" i="16" s="1"/>
  <c r="F20" i="19"/>
  <c r="E20" i="19"/>
  <c r="F81" i="19"/>
  <c r="F66" i="19"/>
  <c r="F51" i="19"/>
  <c r="F46" i="19"/>
  <c r="F40" i="19"/>
  <c r="C179" i="19" l="1"/>
  <c r="C199" i="19"/>
  <c r="B42" i="16"/>
  <c r="D52" i="16"/>
  <c r="C170" i="19"/>
  <c r="C151" i="19"/>
  <c r="C133" i="19"/>
  <c r="C162" i="19"/>
  <c r="F82" i="19"/>
  <c r="C40" i="19"/>
  <c r="C46" i="19"/>
  <c r="C51" i="19"/>
  <c r="C121" i="19"/>
  <c r="C66" i="19"/>
  <c r="C71" i="19"/>
  <c r="E46" i="19" l="1"/>
  <c r="D46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2" i="19" l="1"/>
  <c r="E71" i="19" l="1"/>
  <c r="E66" i="19"/>
  <c r="D66" i="19"/>
  <c r="E51" i="19"/>
  <c r="D51" i="19"/>
  <c r="E40" i="19"/>
  <c r="D82" i="19" l="1"/>
  <c r="E82" i="19"/>
  <c r="A5" i="19" l="1"/>
  <c r="B50" i="16" l="1"/>
  <c r="F22" i="16" l="1"/>
  <c r="F21" i="16" s="1"/>
  <c r="F19" i="16"/>
  <c r="F17" i="16"/>
  <c r="C49" i="16"/>
  <c r="C48" i="16"/>
  <c r="F20" i="16"/>
  <c r="E20" i="16"/>
  <c r="C80" i="19"/>
  <c r="C79" i="19"/>
  <c r="C78" i="19"/>
  <c r="C77" i="19"/>
  <c r="C76" i="19"/>
  <c r="C75" i="19"/>
  <c r="C74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1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2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56" i="19" l="1"/>
  <c r="D157" i="19"/>
  <c r="C47" i="16" l="1"/>
  <c r="C52" i="16" s="1"/>
  <c r="C157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<sst xmlns="http://schemas.openxmlformats.org/spreadsheetml/2006/main" count="437" uniqueCount="383">
  <si>
    <t>DATOS DEL ESTABLECIMIENTO</t>
  </si>
  <si>
    <t>CÓDIGOS</t>
  </si>
  <si>
    <t>NOMBRE DE COMUNA</t>
  </si>
  <si>
    <t>TEMUCO</t>
  </si>
  <si>
    <t>NOMBRE ESTABLECIMIENTO/ESTRATEGIA</t>
  </si>
  <si>
    <t>CENTRO DE SALUD FAMILIAR LABRANZA</t>
  </si>
  <si>
    <t>MES:</t>
  </si>
  <si>
    <t>ENERO</t>
  </si>
  <si>
    <t>AÑO:</t>
  </si>
  <si>
    <t xml:space="preserve"> </t>
  </si>
  <si>
    <t>Versión 1.1 Febrero 2025</t>
  </si>
  <si>
    <t>Director/a Servicio de Salud o Director/a Establecimiento</t>
  </si>
  <si>
    <t>SRA.CRISTINA CONTRERAS CARRASCO</t>
  </si>
  <si>
    <t>Establecimiento de Mayor Complejidad (EMAYC)</t>
  </si>
  <si>
    <t>SERVICIO DE SALUD</t>
  </si>
  <si>
    <t>Jefe/a de Estadísticas</t>
  </si>
  <si>
    <t>SRA.EVELYN SOTO SAAVEDRA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</si>
  <si>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</si>
  <si>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</si>
  <si>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</si>
  <si>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</si>
  <si>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</si>
  <si>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</si>
  <si>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</si>
  <si>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</si>
  <si>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</si>
  <si>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</si>
  <si>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</si>
  <si>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</si>
  <si>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</si>
  <si>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</si>
  <si>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</si>
  <si>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</si>
  <si>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</si>
  <si>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</si>
  <si>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</si>
  <si>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</si>
  <si>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</si>
  <si>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</si>
  <si>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</si>
  <si>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</si>
  <si>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</si>
  <si>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</si>
  <si>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</si>
  <si>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</si>
  <si>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</si>
  <si>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</si>
  <si>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</si>
  <si>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</si>
  <si>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</si>
  <si>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</si>
  <si>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</si>
  <si>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</si>
  <si>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</si>
  <si>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</si>
  <si>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</si>
  <si>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</si>
  <si>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</si>
  <si>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</si>
  <si>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</si>
  <si>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</si>
  <si>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</si>
  <si>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</si>
  <si>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</si>
  <si>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</si>
  <si>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</si>
  <si>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</si>
  <si>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</si>
  <si>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</si>
  <si>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</si>
  <si>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</si>
  <si>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</si>
  <si>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</si>
  <si>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</si>
  <si>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</si>
  <si>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</si>
  <si>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</si>
  <si>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</si>
  <si>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</si>
  <si>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</si>
  <si>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</si>
  <si>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</si>
  <si>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</si>
  <si>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</si>
  <si>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</si>
  <si>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</si>
  <si>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</si>
  <si>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</si>
  <si>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</si>
  <si>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</si>
  <si>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</si>
  <si>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</si>
  <si>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</si>
  <si>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</si>
  <si>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</si>
  <si>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</si>
  <si>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</si>
  <si>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</si>
  <si>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</si>
  <si>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</si>
  <si>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</si>
  <si>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</si>
  <si>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</si>
  <si>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</si>
  <si>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</si>
  <si>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</si>
  <si>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</si>
  <si>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</si>
  <si>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</si>
  <si>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</si>
  <si>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</si>
  <si>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</si>
  <si>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</si>
  <si>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</si>
  <si>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</si>
  <si>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</si>
  <si>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</si>
  <si>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</si>
  <si>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</si>
  <si>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</si>
  <si>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</si>
  <si>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</si>
  <si>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</si>
  <si>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</si>
  <si>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</si>
  <si>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</si>
  <si>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</si>
  <si>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</si>
  <si>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</si>
  <si>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</si>
  <si>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</si>
  <si>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</si>
  <si>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</si>
  <si>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</si>
  <si>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</si>
  <si>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</si>
  <si>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</si>
  <si>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</si>
  <si>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</si>
  <si>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</si>
  <si>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</si>
  <si>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</si>
  <si>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</si>
  <si>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</si>
  <si>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</si>
  <si>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</si>
  <si>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</si>
  <si>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</si>
  <si>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</si>
  <si>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</si>
  <si>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</si>
  <si>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</si>
  <si>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</si>
  <si>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</si>
  <si>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</si>
  <si>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</si>
  <si>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</si>
  <si>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</si>
  <si>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</si>
  <si>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</si>
  <si>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</si>
  <si>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</si>
  <si>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</si>
  <si>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</si>
  <si>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</si>
  <si>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</si>
  <si>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</si>
  <si>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</si>
  <si>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</si>
  <si>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</si>
  <si>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</si>
  <si>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</si>
  <si>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</si>
  <si>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</si>
  <si>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</si>
  <si>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</si>
  <si>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</si>
  <si>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</si>
  <si>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</si>
  <si>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</si>
  <si>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</si>
  <si>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</si>
  <si>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</si>
  <si>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</si>
  <si>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</si>
  <si>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</si>
  <si>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</si>
  <si>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</si>
  <si>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</si>
  <si>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</si>
  <si>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</si>
  <si>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</si>
  <si>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</si>
  <si>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</si>
  <si>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</si>
  <si>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</si>
  <si>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</si>
  <si>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</si>
  <si>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</si>
  <si>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</si>
  <si>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</si>
  <si>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</si>
  <si>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</si>
  <si>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</si>
  <si>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</si>
  <si>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0306059</t>
  </si>
  <si>
    <t>Coproparasitológico seriado simple (incluye diagnóstico de gusanos macroscópicos y examen microscópico por concentración de tres muestras separadas método PAFS (proc. aut.)</t>
  </si>
  <si>
    <t>0306081</t>
  </si>
  <si>
    <t>Virus hepatitis C, anticuerpos de (anti HCV)</t>
  </si>
  <si>
    <t>EXÁMENES DE DEPOSICIONES, EXUDADOS, SECRESIONES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</si>
  <si>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</si>
  <si>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</si>
  <si>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</si>
  <si>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</si>
  <si>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</si>
  <si>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</si>
  <si>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</si>
  <si>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</si>
  <si>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</si>
  <si>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</si>
  <si>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</si>
  <si>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</si>
  <si>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</si>
  <si>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</si>
  <si>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</si>
  <si>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</si>
  <si>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</si>
  <si>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</si>
  <si>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</si>
  <si>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</si>
  <si>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</si>
  <si>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</si>
  <si>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</si>
  <si>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</si>
  <si>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</si>
  <si>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</si>
  <si>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</si>
  <si>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</si>
  <si>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</si>
  <si>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</si>
  <si>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</si>
  <si>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</si>
  <si>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</si>
  <si>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</si>
  <si>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</si>
  <si>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</si>
  <si>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</si>
  <si>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</si>
  <si>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</si>
  <si>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</si>
  <si>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</si>
  <si>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</si>
  <si>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</si>
  <si>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</si>
  <si>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</si>
  <si>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</si>
  <si>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</si>
  <si>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</si>
  <si>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</si>
  <si>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</si>
  <si>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</si>
  <si>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</si>
  <si>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</si>
  <si>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</si>
  <si>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</si>
  <si>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</si>
  <si>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</si>
  <si>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</si>
  <si>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</si>
  <si>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</si>
  <si>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</si>
  <si>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</si>
  <si>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</si>
  <si>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</si>
  <si>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</si>
  <si>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</si>
  <si>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</si>
  <si>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</si>
  <si>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</si>
  <si>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</si>
  <si>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</si>
  <si>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</si>
  <si>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</si>
  <si>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</si>
  <si>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</si>
  <si>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</si>
  <si>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</si>
  <si>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</si>
  <si>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</si>
  <si>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</si>
  <si>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</si>
  <si>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</si>
  <si>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</si>
  <si>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</si>
  <si>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</si>
  <si>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</si>
  <si>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</si>
  <si>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</si>
  <si>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</si>
  <si>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</si>
  <si>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</si>
  <si>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</si>
  <si>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</si>
  <si>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</si>
  <si>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</si>
  <si>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</si>
  <si>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</si>
  <si>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</si>
  <si>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</si>
  <si>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</si>
  <si>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</si>
  <si>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</si>
  <si>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</si>
  <si>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</si>
  <si>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</si>
  <si>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</si>
  <si>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</si>
  <si>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</si>
  <si>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</si>
  <si>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</si>
  <si>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</si>
  <si>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</si>
  <si>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</si>
  <si>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</si>
  <si>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</si>
  <si>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</si>
  <si>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</si>
  <si>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</si>
  <si>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</si>
  <si>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</si>
  <si>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</si>
  <si>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</si>
  <si>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</si>
  <si>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</si>
  <si>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</si>
  <si>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</si>
  <si>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</si>
  <si>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</si>
  <si>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</si>
  <si>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</si>
  <si>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</si>
  <si>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</si>
  <si>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</si>
  <si>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</si>
  <si>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</si>
  <si>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</si>
  <si>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</si>
  <si>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</si>
  <si>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</si>
  <si>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0106008</t>
  </si>
  <si>
    <t>Extracción cuerpo extraño ojo</t>
  </si>
  <si>
    <t>0106010</t>
  </si>
  <si>
    <t>Extracción cuerpo extraño otro lugar</t>
  </si>
  <si>
    <t>0106011</t>
  </si>
  <si>
    <t>Lavado oído</t>
  </si>
  <si>
    <t>0106012</t>
  </si>
  <si>
    <t>Técnicas reanimación cardiopulmonar básico</t>
  </si>
  <si>
    <t>0106013</t>
  </si>
  <si>
    <t>Técnicas reanimación cardiopulmonar avanzado</t>
  </si>
  <si>
    <t>0106014</t>
  </si>
  <si>
    <t>Aseo ocular</t>
  </si>
  <si>
    <t>0106015</t>
  </si>
  <si>
    <t>Administración inyecciones</t>
  </si>
  <si>
    <t>0307011</t>
  </si>
  <si>
    <t>Administración fleboclisis</t>
  </si>
  <si>
    <t>0307012</t>
  </si>
  <si>
    <t>Toma de muestra de sangre venosa en adultos</t>
  </si>
  <si>
    <t>0106022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</si>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</sst>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#,##0_)"/>
    <numFmt numFmtId="168" formatCode="_-[$€-2]* #,##0.00_-;\-[$€-2]* #,##0.00_-;_-[$€-2]* &quot;-&quot;??_-"/>
  </numFmts>
  <fonts count="45" x14ac:knownFonts="1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8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9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63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5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6" xfId="0" applyFont="1" applyBorder="1" applyAlignment="1">
      <alignment horizontal="center" vertical="center" wrapText="1"/>
    </xf>
    <xf numFmtId="164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2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3" fontId="6" fillId="22" borderId="65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12" fillId="0" borderId="35" xfId="125" applyNumberFormat="1" applyFont="1" applyBorder="1" applyAlignment="1">
      <alignment horizontal="right" vertical="center" wrapText="1"/>
    </xf>
    <xf numFmtId="3" fontId="6" fillId="0" borderId="35" xfId="125" applyNumberFormat="1" applyFont="1" applyBorder="1" applyProtection="1">
      <protection locked="0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7" fontId="12" fillId="0" borderId="0" xfId="125" quotePrefix="1" applyNumberFormat="1" applyFont="1" applyAlignment="1">
      <alignment vertical="center" wrapText="1"/>
    </xf>
    <xf numFmtId="167" fontId="12" fillId="0" borderId="0" xfId="125" applyNumberFormat="1" applyFont="1" applyAlignment="1">
      <alignment horizontal="right"/>
    </xf>
    <xf numFmtId="167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1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0" fontId="12" fillId="0" borderId="39" xfId="125" quotePrefix="1" applyFont="1" applyBorder="1" applyAlignment="1">
      <alignment horizontal="center" vertical="center" wrapText="1"/>
    </xf>
    <xf numFmtId="3" fontId="12" fillId="31" borderId="47" xfId="125" applyNumberFormat="1" applyFont="1" applyFill="1" applyBorder="1" applyAlignment="1">
      <alignment horizontal="right"/>
    </xf>
    <xf numFmtId="3" fontId="12" fillId="31" borderId="0" xfId="125" applyNumberFormat="1" applyFont="1" applyFill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1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8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2" fillId="0" borderId="35" xfId="125" applyFont="1" applyBorder="1" applyAlignment="1">
      <alignment vertical="center"/>
    </xf>
    <xf numFmtId="0" fontId="13" fillId="0" borderId="35" xfId="0" applyFont="1" applyBorder="1"/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0" fontId="13" fillId="33" borderId="11" xfId="0" applyFont="1" applyFill="1" applyBorder="1"/>
    <xf numFmtId="0" fontId="13" fillId="33" borderId="59" xfId="0" applyFont="1" applyFill="1" applyBorder="1"/>
    <xf numFmtId="3" fontId="6" fillId="37" borderId="19" xfId="125" applyNumberFormat="1" applyFont="1" applyFill="1" applyBorder="1" applyAlignment="1" applyProtection="1">
      <alignment horizontal="right"/>
      <protection locked="0"/>
    </xf>
    <xf numFmtId="3" fontId="6" fillId="22" borderId="33" xfId="125" applyNumberFormat="1" applyFont="1" applyFill="1" applyBorder="1" applyAlignment="1" applyProtection="1">
      <alignment horizontal="right"/>
      <protection locked="0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9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31" borderId="44" xfId="125" applyNumberFormat="1" applyFont="1" applyFill="1" applyBorder="1"/>
    <xf numFmtId="3" fontId="6" fillId="22" borderId="44" xfId="125" applyNumberFormat="1" applyFont="1" applyFill="1" applyBorder="1" applyProtection="1">
      <protection locked="0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60" xfId="122" applyFont="1" applyBorder="1" applyAlignment="1" applyProtection="1">
      <alignment horizontal="center" vertical="center" wrapText="1"/>
    </xf>
    <xf numFmtId="0" fontId="20" fillId="0" borderId="60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0" fontId="13" fillId="33" borderId="4" xfId="0" applyFont="1" applyFill="1" applyBorder="1"/>
    <xf numFmtId="0" fontId="12" fillId="0" borderId="4" xfId="125" applyFont="1" applyBorder="1" applyAlignment="1">
      <alignment vertical="center"/>
    </xf>
    <xf numFmtId="3" fontId="6" fillId="37" borderId="15" xfId="125" applyNumberFormat="1" applyFont="1" applyFill="1" applyBorder="1" applyProtection="1">
      <protection locked="0"/>
    </xf>
    <xf numFmtId="167" fontId="12" fillId="0" borderId="12" xfId="125" applyNumberFormat="1" applyFont="1" applyBorder="1" applyAlignment="1">
      <alignment horizontal="right"/>
    </xf>
    <xf numFmtId="3" fontId="6" fillId="22" borderId="36" xfId="125" applyNumberFormat="1" applyFont="1" applyFill="1" applyBorder="1" applyProtection="1">
      <protection locked="0"/>
    </xf>
    <xf numFmtId="0" fontId="12" fillId="0" borderId="4" xfId="125" quotePrefix="1" applyFont="1" applyBorder="1" applyAlignment="1">
      <alignment vertical="center" wrapText="1"/>
    </xf>
    <xf numFmtId="3" fontId="6" fillId="22" borderId="70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7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3" fontId="6" fillId="0" borderId="15" xfId="125" applyNumberFormat="1" applyFont="1" applyBorder="1" applyAlignment="1">
      <alignment horizontal="right"/>
    </xf>
    <xf numFmtId="3" fontId="6" fillId="37" borderId="15" xfId="125" applyNumberFormat="1" applyFont="1" applyFill="1" applyBorder="1" applyAlignment="1" applyProtection="1">
      <alignment horizontal="right"/>
      <protection locked="0"/>
    </xf>
    <xf numFmtId="0" fontId="6" fillId="0" borderId="37" xfId="124" applyFont="1" applyBorder="1"/>
    <xf numFmtId="3" fontId="6" fillId="36" borderId="15" xfId="125" applyNumberFormat="1" applyFont="1" applyFill="1" applyBorder="1"/>
    <xf numFmtId="3" fontId="6" fillId="36" borderId="19" xfId="125" applyNumberFormat="1" applyFont="1" applyFill="1" applyBorder="1"/>
    <xf numFmtId="3" fontId="6" fillId="36" borderId="33" xfId="125" applyNumberFormat="1" applyFont="1" applyFill="1" applyBorder="1"/>
    <xf numFmtId="3" fontId="6" fillId="37" borderId="32" xfId="125" applyNumberFormat="1" applyFont="1" applyFill="1" applyBorder="1" applyProtection="1">
      <protection locked="0"/>
    </xf>
    <xf numFmtId="3" fontId="6" fillId="37" borderId="14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3" fontId="6" fillId="37" borderId="33" xfId="125" applyNumberFormat="1" applyFont="1" applyFill="1" applyBorder="1" applyProtection="1">
      <protection locked="0"/>
    </xf>
    <xf numFmtId="3" fontId="6" fillId="0" borderId="34" xfId="125" applyNumberFormat="1" applyFont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6" fillId="37" borderId="33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1" fontId="12" fillId="0" borderId="4" xfId="125" applyNumberFormat="1" applyFont="1" applyBorder="1" applyAlignment="1">
      <alignment horizontal="right"/>
    </xf>
    <xf numFmtId="3" fontId="6" fillId="37" borderId="53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60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4" fillId="0" borderId="0" xfId="124" applyFont="1" applyAlignment="1">
      <alignment horizontal="center" vertical="center" wrapText="1"/>
    </xf>
    <xf numFmtId="0" fontId="6" fillId="0" borderId="60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60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6" fillId="0" borderId="54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9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9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12" fillId="0" borderId="59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8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60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9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60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16" xfId="125" applyFont="1" applyBorder="1" applyAlignment="1">
      <alignment horizontal="center" vertical="center"/>
    </xf>
    <xf numFmtId="0" fontId="12" fillId="0" borderId="35" xfId="125" applyFont="1" applyBorder="1" applyAlignment="1">
      <alignment horizontal="center" vertical="center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0" borderId="60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59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33" borderId="34" xfId="125" applyFont="1" applyFill="1" applyBorder="1" applyAlignment="1">
      <alignment horizontal="center" vertical="center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4" xfId="125" applyFont="1" applyBorder="1" applyAlignment="1">
      <alignment horizontal="center" vertical="center" wrapText="1"/>
    </xf>
    <xf numFmtId="0" fontId="12" fillId="0" borderId="67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9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409575</xdr:colOff>
          <xdr:row>4</xdr:row>
          <xdr:rowOff>523875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zoomScaleNormal="100" workbookViewId="0">
      <selection activeCell="G18" sqref="G18"/>
    </sheetView>
  </sheetViews>
  <sheetFormatPr baseColWidth="10" defaultColWidth="11.42578125" defaultRowHeight="12" customHeight="1" x14ac:dyDescent="0.15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 x14ac:dyDescent="0.2">
      <c r="A1" s="268" t="s">
        <v>0</v>
      </c>
      <c r="B1" s="269"/>
      <c r="C1" s="270" t="s">
        <v>1</v>
      </c>
      <c r="D1" s="271"/>
      <c r="E1" s="271"/>
      <c r="F1" s="271"/>
      <c r="G1" s="272"/>
      <c r="H1" s="27"/>
    </row>
    <row r="2" spans="1:33" ht="21" customHeight="1" x14ac:dyDescent="0.2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61" t="str">
        <f>IF(OR(NOMBRE!C2="",NOMBRE!D2="",NOMBRE!E2="",NOMBRE!F2="",NOMBRE!G2=""),"Falta Cód. Com.","")</f>
        <v/>
      </c>
      <c r="J2" s="261"/>
      <c r="K2" s="262"/>
      <c r="L2" s="262"/>
      <c r="M2" s="262"/>
      <c r="N2" s="262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 x14ac:dyDescent="0.2">
      <c r="A3" s="182" t="s">
        <v>4</v>
      </c>
      <c r="B3" s="106" t="s">
        <v>5</v>
      </c>
      <c r="C3" s="37">
        <v>1</v>
      </c>
      <c r="D3" s="38">
        <v>2</v>
      </c>
      <c r="E3" s="38">
        <v>1</v>
      </c>
      <c r="F3" s="38">
        <v>3</v>
      </c>
      <c r="G3" s="38">
        <v>5</v>
      </c>
      <c r="H3" s="39">
        <v>0</v>
      </c>
      <c r="I3" s="261" t="str">
        <f>IF(OR(NOMBRE!C3="",NOMBRE!D3="",NOMBRE!E3="",NOMBRE!F3="",NOMBRE!G3="",NOMBRE!H3=""),"Falta Cód. Est.","")</f>
        <v/>
      </c>
      <c r="J3" s="261"/>
      <c r="K3" s="262"/>
      <c r="L3" s="262"/>
      <c r="M3" s="262"/>
      <c r="N3" s="262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81" customFormat="1" ht="10.5" customHeight="1" x14ac:dyDescent="0.2">
      <c r="A4" s="176"/>
      <c r="B4" s="180"/>
      <c r="C4" s="175"/>
      <c r="D4" s="175"/>
      <c r="E4" s="175"/>
      <c r="F4" s="175"/>
      <c r="G4" s="175"/>
      <c r="H4" s="175"/>
      <c r="I4" s="174"/>
      <c r="J4" s="174"/>
      <c r="K4" s="174"/>
      <c r="L4" s="174"/>
      <c r="M4" s="174"/>
      <c r="N4" s="174"/>
      <c r="O4" s="174"/>
      <c r="P4" s="174"/>
      <c r="Q4" s="174"/>
      <c r="R4" s="174"/>
      <c r="S4" s="174"/>
      <c r="T4" s="174"/>
      <c r="U4" s="174"/>
      <c r="V4" s="174"/>
      <c r="W4" s="174"/>
      <c r="X4" s="174"/>
      <c r="Y4" s="174"/>
      <c r="AC4" s="2"/>
    </row>
    <row r="5" spans="1:33" s="181" customFormat="1" ht="10.5" customHeight="1" x14ac:dyDescent="0.2">
      <c r="A5" s="183"/>
      <c r="B5" s="184"/>
      <c r="C5" s="185"/>
      <c r="D5" s="185"/>
      <c r="E5" s="175"/>
      <c r="F5" s="175"/>
      <c r="G5" s="175"/>
      <c r="H5" s="175"/>
      <c r="I5" s="174"/>
      <c r="J5" s="174"/>
      <c r="K5" s="174"/>
      <c r="L5" s="174"/>
      <c r="M5" s="174"/>
      <c r="N5" s="174"/>
      <c r="O5" s="174"/>
      <c r="P5" s="174"/>
      <c r="Q5" s="174"/>
      <c r="R5" s="174"/>
      <c r="S5" s="174"/>
      <c r="T5" s="174"/>
      <c r="U5" s="174"/>
      <c r="V5" s="174"/>
      <c r="W5" s="174"/>
      <c r="X5" s="174"/>
      <c r="Y5" s="174"/>
      <c r="AC5" s="2"/>
    </row>
    <row r="6" spans="1:33" ht="21" customHeight="1" x14ac:dyDescent="0.2">
      <c r="A6" s="176" t="s">
        <v>6</v>
      </c>
      <c r="B6" s="177" t="s">
        <v>7</v>
      </c>
      <c r="C6" s="178">
        <v>0</v>
      </c>
      <c r="D6" s="179">
        <v>1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 x14ac:dyDescent="0.2">
      <c r="A7" s="105" t="s">
        <v>8</v>
      </c>
      <c r="B7" s="107">
        <v>2025</v>
      </c>
      <c r="AG7" s="28">
        <f>SUM(AG2:AG6)</f>
        <v>0</v>
      </c>
    </row>
    <row r="8" spans="1:33" ht="12" customHeight="1" x14ac:dyDescent="0.15">
      <c r="A8" s="3"/>
      <c r="B8" s="4"/>
      <c r="G8" s="1" t="s">
        <v>9</v>
      </c>
    </row>
    <row r="9" spans="1:33" ht="24" customHeight="1" x14ac:dyDescent="0.15">
      <c r="A9" s="273" t="s">
        <v>10</v>
      </c>
      <c r="B9" s="274"/>
    </row>
    <row r="10" spans="1:33" ht="12" customHeight="1" x14ac:dyDescent="0.2">
      <c r="A10" s="5"/>
      <c r="B10" s="6"/>
    </row>
    <row r="11" spans="1:33" ht="27.75" customHeight="1" x14ac:dyDescent="0.2">
      <c r="A11" s="153" t="s">
        <v>11</v>
      </c>
      <c r="B11" s="7" t="s">
        <v>12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7</v>
      </c>
      <c r="AB11" s="35" t="s">
        <v>13</v>
      </c>
      <c r="AC11" s="108" t="s">
        <v>14</v>
      </c>
    </row>
    <row r="12" spans="1:33" ht="21" customHeight="1" x14ac:dyDescent="0.2">
      <c r="A12" s="154" t="s">
        <v>15</v>
      </c>
      <c r="B12" s="7" t="s">
        <v>16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17</v>
      </c>
      <c r="AB12" s="35" t="s">
        <v>18</v>
      </c>
      <c r="AC12" s="108" t="s">
        <v>19</v>
      </c>
    </row>
    <row r="13" spans="1:33" ht="21" customHeight="1" x14ac:dyDescent="0.2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20</v>
      </c>
      <c r="AB13" s="35" t="s">
        <v>21</v>
      </c>
      <c r="AC13" s="108" t="s">
        <v>22</v>
      </c>
    </row>
    <row r="14" spans="1:33" ht="21" customHeight="1" x14ac:dyDescent="0.15">
      <c r="A14" s="263" t="s">
        <v>23</v>
      </c>
      <c r="B14" s="264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24</v>
      </c>
      <c r="AB14" s="35" t="s">
        <v>25</v>
      </c>
      <c r="AC14" s="109"/>
    </row>
    <row r="15" spans="1:33" ht="21" customHeight="1" x14ac:dyDescent="0.15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26</v>
      </c>
      <c r="AB15" s="35" t="s">
        <v>27</v>
      </c>
      <c r="AC15" s="109"/>
    </row>
    <row r="16" spans="1:33" ht="21" customHeight="1" x14ac:dyDescent="0.15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28</v>
      </c>
      <c r="AB16" s="35" t="s">
        <v>29</v>
      </c>
      <c r="AC16" s="109"/>
    </row>
    <row r="17" spans="2:29" ht="21" customHeight="1" x14ac:dyDescent="0.15">
      <c r="B17" s="265" t="s">
        <v>30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31</v>
      </c>
      <c r="AB17" s="35" t="s">
        <v>32</v>
      </c>
      <c r="AC17" s="109"/>
    </row>
    <row r="18" spans="2:29" ht="21" customHeight="1" x14ac:dyDescent="0.15">
      <c r="B18" s="266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33</v>
      </c>
      <c r="AB18" s="35" t="s">
        <v>34</v>
      </c>
      <c r="AC18" s="109"/>
    </row>
    <row r="19" spans="2:29" ht="40.5" customHeight="1" x14ac:dyDescent="0.15">
      <c r="B19" s="267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35</v>
      </c>
      <c r="AB19" s="35" t="s">
        <v>36</v>
      </c>
      <c r="AC19" s="109"/>
    </row>
    <row r="20" spans="2:29" ht="21" customHeight="1" x14ac:dyDescent="0.15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37</v>
      </c>
      <c r="AB20" s="35" t="s">
        <v>38</v>
      </c>
      <c r="AC20" s="109"/>
    </row>
    <row r="21" spans="2:29" ht="21" customHeight="1" x14ac:dyDescent="0.15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39</v>
      </c>
      <c r="AB21" s="35" t="s">
        <v>40</v>
      </c>
      <c r="AC21" s="109"/>
    </row>
    <row r="22" spans="2:29" ht="21" customHeight="1" x14ac:dyDescent="0.15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41</v>
      </c>
      <c r="AB22" s="35" t="s">
        <v>42</v>
      </c>
      <c r="AC22" s="109"/>
    </row>
    <row r="23" spans="2:29" ht="17.25" customHeight="1" x14ac:dyDescent="0.15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43</v>
      </c>
      <c r="AC23" s="109"/>
    </row>
    <row r="24" spans="2:29" ht="18.75" customHeight="1" x14ac:dyDescent="0.15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44</v>
      </c>
      <c r="AC24" s="109"/>
    </row>
    <row r="25" spans="2:29" ht="18" customHeight="1" x14ac:dyDescent="0.15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45</v>
      </c>
      <c r="AC25" s="109"/>
    </row>
    <row r="26" spans="2:29" ht="19.5" customHeight="1" x14ac:dyDescent="0.15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46</v>
      </c>
      <c r="AC26" s="109"/>
    </row>
    <row r="27" spans="2:29" ht="19.5" customHeight="1" x14ac:dyDescent="0.15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47</v>
      </c>
      <c r="AC27" s="109"/>
    </row>
    <row r="28" spans="2:29" ht="18.75" customHeight="1" x14ac:dyDescent="0.15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48</v>
      </c>
      <c r="AC28" s="109"/>
    </row>
    <row r="29" spans="2:29" ht="18.75" customHeight="1" x14ac:dyDescent="0.15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49</v>
      </c>
      <c r="AC29" s="109"/>
    </row>
    <row r="30" spans="2:29" ht="18.75" customHeight="1" x14ac:dyDescent="0.2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50</v>
      </c>
      <c r="AC30" s="111"/>
    </row>
    <row r="31" spans="2:29" ht="12" customHeight="1" x14ac:dyDescent="0.2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51</v>
      </c>
      <c r="AC31" s="111"/>
    </row>
    <row r="32" spans="2:29" ht="12" customHeight="1" x14ac:dyDescent="0.2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52</v>
      </c>
      <c r="AC32" s="111"/>
    </row>
    <row r="33" spans="14:29" ht="12" customHeight="1" x14ac:dyDescent="0.2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53</v>
      </c>
      <c r="AC33" s="111"/>
    </row>
    <row r="34" spans="14:29" ht="12" customHeight="1" x14ac:dyDescent="0.2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54</v>
      </c>
      <c r="AC34" s="111"/>
    </row>
    <row r="35" spans="14:29" ht="12" customHeight="1" x14ac:dyDescent="0.15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55</v>
      </c>
      <c r="AC35" s="108"/>
    </row>
    <row r="36" spans="14:29" ht="12" customHeight="1" x14ac:dyDescent="0.15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56</v>
      </c>
      <c r="AC36" s="108"/>
    </row>
    <row r="37" spans="14:29" ht="12" customHeight="1" x14ac:dyDescent="0.15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57</v>
      </c>
      <c r="AC37" s="108"/>
    </row>
    <row r="38" spans="14:29" ht="12" customHeight="1" x14ac:dyDescent="0.15">
      <c r="AA38" s="112"/>
      <c r="AB38" s="35" t="s">
        <v>58</v>
      </c>
      <c r="AC38" s="108"/>
    </row>
    <row r="39" spans="14:29" ht="12" customHeight="1" x14ac:dyDescent="0.15">
      <c r="AA39" s="112"/>
      <c r="AB39" s="35" t="s">
        <v>59</v>
      </c>
      <c r="AC39" s="112"/>
    </row>
    <row r="40" spans="14:29" ht="12" customHeight="1" x14ac:dyDescent="0.15">
      <c r="AA40" s="112"/>
      <c r="AB40" s="35" t="s">
        <v>60</v>
      </c>
      <c r="AC40" s="112"/>
    </row>
    <row r="41" spans="14:29" ht="12" customHeight="1" x14ac:dyDescent="0.15">
      <c r="AA41" s="112"/>
      <c r="AB41" s="35" t="s">
        <v>61</v>
      </c>
      <c r="AC41" s="112"/>
    </row>
    <row r="42" spans="14:29" ht="12" customHeight="1" x14ac:dyDescent="0.15">
      <c r="AA42" s="112"/>
      <c r="AB42" s="35" t="s">
        <v>62</v>
      </c>
      <c r="AC42" s="112"/>
    </row>
    <row r="43" spans="14:29" ht="12" customHeight="1" x14ac:dyDescent="0.15">
      <c r="AA43" s="112"/>
      <c r="AB43" s="35"/>
      <c r="AC43" s="112"/>
    </row>
  </sheetData>
  <sheetProtection algorithmName="SHA-512" hashValue="/wDobUWm6ciqU/jREVAZlf5SazGjqEp93TXikQlB13kwCKzyxiWApXHy5C1NE7Lvut9S2H68UvnSgcymKfYCdA==" saltValue="pNWGOTJvX/0vwtxmtfFAd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opLeftCell="A40" zoomScaleNormal="100" workbookViewId="0">
      <selection activeCell="D60" sqref="D60"/>
    </sheetView>
  </sheetViews>
  <sheetFormatPr baseColWidth="10" defaultColWidth="11.42578125" defaultRowHeight="12.75" x14ac:dyDescent="0.2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 x14ac:dyDescent="0.2">
      <c r="A1" s="50" t="s">
        <v>63</v>
      </c>
    </row>
    <row r="2" spans="1:6" x14ac:dyDescent="0.2">
      <c r="A2" s="50" t="str">
        <f>CONCATENATE("COMUNA: ",NOMBRE!B2,"  ","( ",NOMBRE!C2,NOMBRE!D2,NOMBRE!E2,NOMBRE!F2,NOMBRE!G2," )")</f>
        <v>COMUNA: TEMUCO  ( 09101 )</v>
      </c>
    </row>
    <row r="3" spans="1:6" x14ac:dyDescent="0.2">
      <c r="A3" s="50" t="str">
        <f>CONCATENATE("ESTABLECIMIENTO/ESTRATEGIA: ",NOMBRE!B3,"  ","( ",NOMBRE!C3,NOMBRE!D3,NOMBRE!E3,NOMBRE!F3,NOMBRE!G3,NOMBRE!H3," )")</f>
        <v>ESTABLECIMIENTO/ESTRATEGIA: CENTRO DE SALUD FAMILIAR LABRANZA  ( 121350 )</v>
      </c>
    </row>
    <row r="4" spans="1:6" x14ac:dyDescent="0.2">
      <c r="A4" s="50" t="str">
        <f>CONCATENATE("MES: ",NOMBRE!B6,"  ","( ",NOMBRE!C6,NOMBRE!D6," )")</f>
        <v>MES: ENERO  ( 01 )</v>
      </c>
    </row>
    <row r="5" spans="1:6" x14ac:dyDescent="0.2">
      <c r="A5" s="50" t="str">
        <f>CONCATENATE("AÑO: ",NOMBRE!B7)</f>
        <v>AÑO: 2025</v>
      </c>
    </row>
    <row r="8" spans="1:6" ht="29.25" customHeight="1" x14ac:dyDescent="0.2">
      <c r="A8" s="275" t="s">
        <v>64</v>
      </c>
      <c r="B8" s="275"/>
      <c r="C8" s="275"/>
      <c r="D8" s="275"/>
      <c r="E8" s="275"/>
      <c r="F8" s="275"/>
    </row>
    <row r="9" spans="1:6" s="145" customFormat="1" ht="28.5" customHeight="1" x14ac:dyDescent="0.2">
      <c r="A9" s="275"/>
      <c r="B9" s="275"/>
      <c r="C9" s="275"/>
      <c r="D9" s="275"/>
      <c r="E9" s="275"/>
      <c r="F9" s="275"/>
    </row>
    <row r="10" spans="1:6" ht="26.25" customHeight="1" x14ac:dyDescent="0.2">
      <c r="A10" s="283" t="s">
        <v>65</v>
      </c>
      <c r="B10" s="283"/>
      <c r="C10" s="283"/>
    </row>
    <row r="11" spans="1:6" ht="12.75" customHeight="1" x14ac:dyDescent="0.2">
      <c r="A11" s="286" t="s">
        <v>66</v>
      </c>
      <c r="B11" s="287"/>
      <c r="C11" s="288"/>
      <c r="D11" s="276" t="s">
        <v>67</v>
      </c>
      <c r="E11" s="276" t="s">
        <v>68</v>
      </c>
      <c r="F11" s="279" t="s">
        <v>69</v>
      </c>
    </row>
    <row r="12" spans="1:6" ht="21.75" customHeight="1" x14ac:dyDescent="0.2">
      <c r="A12" s="289"/>
      <c r="B12" s="290"/>
      <c r="C12" s="291"/>
      <c r="D12" s="278"/>
      <c r="E12" s="278" t="s">
        <v>70</v>
      </c>
      <c r="F12" s="280" t="s">
        <v>70</v>
      </c>
    </row>
    <row r="13" spans="1:6" ht="20.25" customHeight="1" x14ac:dyDescent="0.2">
      <c r="A13" s="43" t="s">
        <v>71</v>
      </c>
      <c r="B13" s="281"/>
      <c r="C13" s="282"/>
      <c r="D13" s="76">
        <f>SUM(E13:F13)</f>
        <v>0</v>
      </c>
      <c r="E13" s="77">
        <f>SUM(E14:E20)</f>
        <v>0</v>
      </c>
      <c r="F13" s="77">
        <f>SUM(F14:F20)</f>
        <v>0</v>
      </c>
    </row>
    <row r="14" spans="1:6" ht="17.25" customHeight="1" x14ac:dyDescent="0.2">
      <c r="A14" s="44" t="s">
        <v>72</v>
      </c>
      <c r="B14" s="294" t="s">
        <v>73</v>
      </c>
      <c r="C14" s="295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 x14ac:dyDescent="0.2">
      <c r="A15" s="45" t="s">
        <v>74</v>
      </c>
      <c r="B15" s="284" t="s">
        <v>75</v>
      </c>
      <c r="C15" s="285"/>
      <c r="D15" s="78">
        <f t="shared" ref="D15:D18" si="0">SUM(E15:F15)</f>
        <v>0</v>
      </c>
      <c r="E15" s="78">
        <f>BM18A!D40</f>
        <v>0</v>
      </c>
      <c r="F15" s="78">
        <f>BM18A!E40</f>
        <v>0</v>
      </c>
    </row>
    <row r="16" spans="1:6" ht="17.25" customHeight="1" x14ac:dyDescent="0.2">
      <c r="A16" s="45" t="s">
        <v>76</v>
      </c>
      <c r="B16" s="284" t="s">
        <v>77</v>
      </c>
      <c r="C16" s="285"/>
      <c r="D16" s="78">
        <f t="shared" si="0"/>
        <v>0</v>
      </c>
      <c r="E16" s="78">
        <f>BM18A!D46</f>
        <v>0</v>
      </c>
      <c r="F16" s="78">
        <f>BM18A!E46</f>
        <v>0</v>
      </c>
    </row>
    <row r="17" spans="1:6" ht="17.25" customHeight="1" x14ac:dyDescent="0.2">
      <c r="A17" s="45" t="s">
        <v>78</v>
      </c>
      <c r="B17" s="284" t="s">
        <v>79</v>
      </c>
      <c r="C17" s="285"/>
      <c r="D17" s="78">
        <f t="shared" si="0"/>
        <v>0</v>
      </c>
      <c r="E17" s="78">
        <f>BM18A!D51</f>
        <v>0</v>
      </c>
      <c r="F17" s="78">
        <f>BM18A!E51</f>
        <v>0</v>
      </c>
    </row>
    <row r="18" spans="1:6" ht="17.25" customHeight="1" x14ac:dyDescent="0.2">
      <c r="A18" s="46" t="s">
        <v>80</v>
      </c>
      <c r="B18" s="284" t="s">
        <v>81</v>
      </c>
      <c r="C18" s="285"/>
      <c r="D18" s="78">
        <f t="shared" si="0"/>
        <v>0</v>
      </c>
      <c r="E18" s="78">
        <f>BM18A!D66</f>
        <v>0</v>
      </c>
      <c r="F18" s="78">
        <f>BM18A!E66</f>
        <v>0</v>
      </c>
    </row>
    <row r="19" spans="1:6" ht="17.25" customHeight="1" x14ac:dyDescent="0.2">
      <c r="A19" s="47" t="s">
        <v>82</v>
      </c>
      <c r="B19" s="296" t="s">
        <v>83</v>
      </c>
      <c r="C19" s="297"/>
      <c r="D19" s="78">
        <f t="shared" ref="D19:D20" si="1">SUM(E19:F19)</f>
        <v>0</v>
      </c>
      <c r="E19" s="78">
        <f>BM18A!D71</f>
        <v>0</v>
      </c>
      <c r="F19" s="78">
        <f>BM18A!E71</f>
        <v>0</v>
      </c>
    </row>
    <row r="20" spans="1:6" ht="17.25" customHeight="1" x14ac:dyDescent="0.2">
      <c r="A20" s="48" t="s">
        <v>84</v>
      </c>
      <c r="B20" s="300" t="s">
        <v>85</v>
      </c>
      <c r="C20" s="301"/>
      <c r="D20" s="78">
        <f t="shared" si="1"/>
        <v>0</v>
      </c>
      <c r="E20" s="78">
        <f>BM18A!D81</f>
        <v>0</v>
      </c>
      <c r="F20" s="78">
        <f>BM18A!E81</f>
        <v>0</v>
      </c>
    </row>
    <row r="21" spans="1:6" ht="17.25" customHeight="1" x14ac:dyDescent="0.2">
      <c r="A21" s="43" t="s">
        <v>86</v>
      </c>
      <c r="B21" s="281"/>
      <c r="C21" s="282"/>
      <c r="D21" s="77">
        <f>SUM(E21:F21)</f>
        <v>809</v>
      </c>
      <c r="E21" s="77">
        <f>SUM(E22+E23)</f>
        <v>0</v>
      </c>
      <c r="F21" s="77">
        <f>SUM(F22+F23)</f>
        <v>809</v>
      </c>
    </row>
    <row r="22" spans="1:6" ht="17.25" customHeight="1" x14ac:dyDescent="0.2">
      <c r="A22" s="98" t="s">
        <v>87</v>
      </c>
      <c r="B22" s="302" t="s">
        <v>88</v>
      </c>
      <c r="C22" s="303"/>
      <c r="D22" s="79">
        <f>SUM(E22:F22)</f>
        <v>809</v>
      </c>
      <c r="E22" s="78">
        <f>SUM(BM18A!D85:D106)</f>
        <v>0</v>
      </c>
      <c r="F22" s="78">
        <f>SUM(BM18A!E85:E106)</f>
        <v>809</v>
      </c>
    </row>
    <row r="23" spans="1:6" ht="17.25" customHeight="1" x14ac:dyDescent="0.2">
      <c r="A23" s="99"/>
      <c r="B23" s="304" t="s">
        <v>89</v>
      </c>
      <c r="C23" s="305"/>
      <c r="D23" s="80">
        <f t="shared" ref="D23" si="2">SUM(E23:F23)</f>
        <v>0</v>
      </c>
      <c r="E23" s="78">
        <f>SUM(BM18A!D107:D111)</f>
        <v>0</v>
      </c>
      <c r="F23" s="80">
        <f>SUM(BM18A!E107:E111)</f>
        <v>0</v>
      </c>
    </row>
    <row r="24" spans="1:6" ht="17.25" customHeight="1" x14ac:dyDescent="0.2">
      <c r="A24" s="276"/>
      <c r="B24" s="306" t="s">
        <v>90</v>
      </c>
      <c r="C24" s="187" t="s">
        <v>91</v>
      </c>
      <c r="D24" s="78">
        <f>SUM(F24)</f>
        <v>0</v>
      </c>
      <c r="E24" s="186"/>
      <c r="F24" s="101"/>
    </row>
    <row r="25" spans="1:6" ht="17.25" customHeight="1" x14ac:dyDescent="0.2">
      <c r="A25" s="277"/>
      <c r="B25" s="293"/>
      <c r="C25" s="134" t="s">
        <v>92</v>
      </c>
      <c r="D25" s="80">
        <f>SUM(F25)</f>
        <v>0</v>
      </c>
      <c r="E25" s="100"/>
      <c r="F25" s="93"/>
    </row>
    <row r="26" spans="1:6" ht="17.25" customHeight="1" x14ac:dyDescent="0.2">
      <c r="A26" s="277"/>
      <c r="B26" s="292" t="s">
        <v>93</v>
      </c>
      <c r="C26" s="133" t="s">
        <v>91</v>
      </c>
      <c r="D26" s="82">
        <f t="shared" ref="D26:D31" si="3">SUM(F26)</f>
        <v>0</v>
      </c>
      <c r="E26" s="94"/>
      <c r="F26" s="95"/>
    </row>
    <row r="27" spans="1:6" ht="17.25" customHeight="1" x14ac:dyDescent="0.2">
      <c r="A27" s="277"/>
      <c r="B27" s="293"/>
      <c r="C27" s="134" t="s">
        <v>92</v>
      </c>
      <c r="D27" s="80">
        <f t="shared" si="3"/>
        <v>0</v>
      </c>
      <c r="E27" s="92"/>
      <c r="F27" s="93"/>
    </row>
    <row r="28" spans="1:6" ht="17.25" customHeight="1" x14ac:dyDescent="0.2">
      <c r="A28" s="277"/>
      <c r="B28" s="292" t="s">
        <v>94</v>
      </c>
      <c r="C28" s="133" t="s">
        <v>91</v>
      </c>
      <c r="D28" s="82">
        <f t="shared" si="3"/>
        <v>0</v>
      </c>
      <c r="E28" s="94"/>
      <c r="F28" s="95"/>
    </row>
    <row r="29" spans="1:6" ht="17.25" customHeight="1" x14ac:dyDescent="0.2">
      <c r="A29" s="277"/>
      <c r="B29" s="293"/>
      <c r="C29" s="134" t="s">
        <v>92</v>
      </c>
      <c r="D29" s="80">
        <f t="shared" si="3"/>
        <v>0</v>
      </c>
      <c r="E29" s="92"/>
      <c r="F29" s="93"/>
    </row>
    <row r="30" spans="1:6" ht="17.25" customHeight="1" x14ac:dyDescent="0.2">
      <c r="A30" s="277"/>
      <c r="B30" s="292" t="s">
        <v>95</v>
      </c>
      <c r="C30" s="133" t="s">
        <v>91</v>
      </c>
      <c r="D30" s="82">
        <f t="shared" si="3"/>
        <v>0</v>
      </c>
      <c r="E30" s="94"/>
      <c r="F30" s="95"/>
    </row>
    <row r="31" spans="1:6" ht="17.25" customHeight="1" x14ac:dyDescent="0.2">
      <c r="A31" s="277"/>
      <c r="B31" s="293"/>
      <c r="C31" s="134" t="s">
        <v>92</v>
      </c>
      <c r="D31" s="80">
        <f t="shared" si="3"/>
        <v>0</v>
      </c>
      <c r="E31" s="92"/>
      <c r="F31" s="93"/>
    </row>
    <row r="32" spans="1:6" ht="17.25" customHeight="1" x14ac:dyDescent="0.2">
      <c r="A32" s="277"/>
      <c r="B32" s="298" t="s">
        <v>96</v>
      </c>
      <c r="C32" s="133" t="s">
        <v>91</v>
      </c>
      <c r="D32" s="82">
        <f>SUM(D24+D26+D28+D30)</f>
        <v>0</v>
      </c>
      <c r="E32" s="94"/>
      <c r="F32" s="94"/>
    </row>
    <row r="33" spans="1:6" ht="17.25" customHeight="1" x14ac:dyDescent="0.2">
      <c r="A33" s="277"/>
      <c r="B33" s="299"/>
      <c r="C33" s="134" t="s">
        <v>92</v>
      </c>
      <c r="D33" s="80">
        <f>SUM(D25+D27+D29+D31)</f>
        <v>0</v>
      </c>
      <c r="E33" s="92"/>
      <c r="F33" s="92"/>
    </row>
    <row r="34" spans="1:6" ht="17.25" customHeight="1" x14ac:dyDescent="0.2">
      <c r="A34" s="277"/>
      <c r="B34" s="292" t="s">
        <v>97</v>
      </c>
      <c r="C34" s="133" t="s">
        <v>91</v>
      </c>
      <c r="D34" s="82">
        <f>SUM(F34)</f>
        <v>0</v>
      </c>
      <c r="E34" s="94"/>
      <c r="F34" s="95"/>
    </row>
    <row r="35" spans="1:6" ht="17.25" customHeight="1" x14ac:dyDescent="0.2">
      <c r="A35" s="277"/>
      <c r="B35" s="293"/>
      <c r="C35" s="134" t="s">
        <v>92</v>
      </c>
      <c r="D35" s="81">
        <f>SUM(F35)</f>
        <v>0</v>
      </c>
      <c r="E35" s="92"/>
      <c r="F35" s="93"/>
    </row>
    <row r="36" spans="1:6" ht="17.25" customHeight="1" x14ac:dyDescent="0.2">
      <c r="A36" s="277"/>
      <c r="B36" s="292" t="s">
        <v>98</v>
      </c>
      <c r="C36" s="133" t="s">
        <v>91</v>
      </c>
      <c r="D36" s="82">
        <f>SUM(F36)</f>
        <v>0</v>
      </c>
      <c r="E36" s="148"/>
      <c r="F36" s="95"/>
    </row>
    <row r="37" spans="1:6" ht="17.25" customHeight="1" x14ac:dyDescent="0.2">
      <c r="A37" s="278"/>
      <c r="B37" s="293"/>
      <c r="C37" s="134" t="s">
        <v>92</v>
      </c>
      <c r="D37" s="81">
        <f>SUM(F37)</f>
        <v>0</v>
      </c>
      <c r="E37" s="96"/>
      <c r="F37" s="97"/>
    </row>
    <row r="38" spans="1:6" ht="19.5" customHeight="1" x14ac:dyDescent="0.2"/>
    <row r="39" spans="1:6" x14ac:dyDescent="0.2">
      <c r="A39" s="42" t="s">
        <v>99</v>
      </c>
      <c r="B39" s="11"/>
    </row>
    <row r="40" spans="1:6" ht="12.75" customHeight="1" x14ac:dyDescent="0.2">
      <c r="A40" s="279" t="s">
        <v>100</v>
      </c>
      <c r="B40" s="279" t="s">
        <v>67</v>
      </c>
      <c r="C40" s="276" t="s">
        <v>68</v>
      </c>
      <c r="D40" s="279" t="s">
        <v>69</v>
      </c>
    </row>
    <row r="41" spans="1:6" ht="25.5" customHeight="1" x14ac:dyDescent="0.2">
      <c r="A41" s="280"/>
      <c r="B41" s="307"/>
      <c r="C41" s="278" t="s">
        <v>70</v>
      </c>
      <c r="D41" s="280" t="s">
        <v>70</v>
      </c>
    </row>
    <row r="42" spans="1:6" ht="16.5" customHeight="1" x14ac:dyDescent="0.2">
      <c r="A42" s="90" t="s">
        <v>101</v>
      </c>
      <c r="B42" s="79">
        <f t="shared" ref="B42:B51" si="4">SUM(C42:D42)</f>
        <v>0</v>
      </c>
      <c r="C42" s="83">
        <f>BM18A!D121</f>
        <v>0</v>
      </c>
      <c r="D42" s="83">
        <f>BM18A!E121</f>
        <v>0</v>
      </c>
    </row>
    <row r="43" spans="1:6" ht="16.5" customHeight="1" x14ac:dyDescent="0.2">
      <c r="A43" s="90" t="s">
        <v>102</v>
      </c>
      <c r="B43" s="79">
        <f t="shared" si="4"/>
        <v>201</v>
      </c>
      <c r="C43" s="83">
        <f>BM18A!D151</f>
        <v>0</v>
      </c>
      <c r="D43" s="83">
        <f>BM18A!E151</f>
        <v>201</v>
      </c>
    </row>
    <row r="44" spans="1:6" ht="16.5" customHeight="1" x14ac:dyDescent="0.2">
      <c r="A44" s="90" t="s">
        <v>103</v>
      </c>
      <c r="B44" s="79">
        <f t="shared" si="4"/>
        <v>0</v>
      </c>
      <c r="C44" s="79">
        <f>BM18A!D124</f>
        <v>0</v>
      </c>
      <c r="D44" s="79">
        <f>BM18A!E124</f>
        <v>0</v>
      </c>
    </row>
    <row r="45" spans="1:6" ht="16.5" customHeight="1" x14ac:dyDescent="0.2">
      <c r="A45" s="90" t="s">
        <v>104</v>
      </c>
      <c r="B45" s="79">
        <f t="shared" si="4"/>
        <v>1</v>
      </c>
      <c r="C45" s="79">
        <f>SUM(BM18A!D125:D132)</f>
        <v>0</v>
      </c>
      <c r="D45" s="79">
        <f>SUM(BM18A!E125:E132)</f>
        <v>1</v>
      </c>
    </row>
    <row r="46" spans="1:6" ht="16.5" customHeight="1" x14ac:dyDescent="0.2">
      <c r="A46" s="90" t="s">
        <v>105</v>
      </c>
      <c r="B46" s="79">
        <f t="shared" si="4"/>
        <v>273</v>
      </c>
      <c r="C46" s="83">
        <f>BM18A!D141</f>
        <v>0</v>
      </c>
      <c r="D46" s="83">
        <f>BM18A!E141</f>
        <v>273</v>
      </c>
    </row>
    <row r="47" spans="1:6" ht="16.5" customHeight="1" x14ac:dyDescent="0.2">
      <c r="A47" s="90" t="s">
        <v>106</v>
      </c>
      <c r="B47" s="79">
        <f t="shared" si="4"/>
        <v>0</v>
      </c>
      <c r="C47" s="83">
        <f>BM18A!D157</f>
        <v>0</v>
      </c>
      <c r="D47" s="83">
        <f>BM18A!E157</f>
        <v>0</v>
      </c>
    </row>
    <row r="48" spans="1:6" ht="16.5" customHeight="1" x14ac:dyDescent="0.2">
      <c r="A48" s="90" t="s">
        <v>107</v>
      </c>
      <c r="B48" s="79">
        <f t="shared" si="4"/>
        <v>1</v>
      </c>
      <c r="C48" s="83">
        <f>BM18A!D162</f>
        <v>0</v>
      </c>
      <c r="D48" s="83">
        <f>BM18A!E162</f>
        <v>1</v>
      </c>
    </row>
    <row r="49" spans="1:4" ht="16.5" customHeight="1" x14ac:dyDescent="0.2">
      <c r="A49" s="90" t="s">
        <v>108</v>
      </c>
      <c r="B49" s="79">
        <f t="shared" si="4"/>
        <v>0</v>
      </c>
      <c r="C49" s="83">
        <f>BM18A!D179</f>
        <v>0</v>
      </c>
      <c r="D49" s="221"/>
    </row>
    <row r="50" spans="1:4" ht="16.5" customHeight="1" x14ac:dyDescent="0.2">
      <c r="A50" s="90" t="s">
        <v>109</v>
      </c>
      <c r="B50" s="90">
        <f t="shared" si="4"/>
        <v>105</v>
      </c>
      <c r="C50" s="79">
        <f>BM18A!D170</f>
        <v>0</v>
      </c>
      <c r="D50" s="79">
        <f>BM18A!E170</f>
        <v>105</v>
      </c>
    </row>
    <row r="51" spans="1:4" ht="16.5" customHeight="1" x14ac:dyDescent="0.2">
      <c r="A51" s="246" t="s">
        <v>110</v>
      </c>
      <c r="B51" s="90">
        <f t="shared" si="4"/>
        <v>3473</v>
      </c>
      <c r="C51" s="81">
        <f>BM18A!D199</f>
        <v>0</v>
      </c>
      <c r="D51" s="81">
        <f>BM18A!E199</f>
        <v>3473</v>
      </c>
    </row>
    <row r="52" spans="1:4" ht="17.25" customHeight="1" x14ac:dyDescent="0.2">
      <c r="A52" s="91" t="s">
        <v>67</v>
      </c>
      <c r="B52" s="77">
        <f>SUM(B42:B51)</f>
        <v>4054</v>
      </c>
      <c r="C52" s="77">
        <f>SUM(C42:C51)</f>
        <v>0</v>
      </c>
      <c r="D52" s="77">
        <f>SUM(D42:D51)</f>
        <v>4054</v>
      </c>
    </row>
    <row r="53" spans="1:4" ht="17.25" customHeight="1" x14ac:dyDescent="0.2">
      <c r="A53" s="117"/>
      <c r="B53" s="118"/>
      <c r="C53" s="118"/>
      <c r="D53" s="118"/>
    </row>
    <row r="54" spans="1:4" ht="24.75" customHeight="1" x14ac:dyDescent="0.2">
      <c r="A54" s="102" t="s">
        <v>111</v>
      </c>
    </row>
    <row r="55" spans="1:4" x14ac:dyDescent="0.2">
      <c r="A55" s="315" t="s">
        <v>112</v>
      </c>
      <c r="B55" s="313" t="s">
        <v>67</v>
      </c>
    </row>
    <row r="56" spans="1:4" x14ac:dyDescent="0.2">
      <c r="A56" s="316"/>
      <c r="B56" s="314"/>
    </row>
    <row r="57" spans="1:4" ht="17.25" customHeight="1" x14ac:dyDescent="0.2">
      <c r="A57" s="116" t="s">
        <v>113</v>
      </c>
      <c r="B57" s="222"/>
    </row>
    <row r="58" spans="1:4" ht="27.75" customHeight="1" x14ac:dyDescent="0.2">
      <c r="A58" s="36" t="s">
        <v>114</v>
      </c>
      <c r="D58" s="52"/>
    </row>
    <row r="59" spans="1:4" ht="32.25" customHeight="1" x14ac:dyDescent="0.2">
      <c r="A59" s="311" t="s">
        <v>115</v>
      </c>
      <c r="B59" s="312"/>
      <c r="C59" s="103" t="s">
        <v>116</v>
      </c>
      <c r="D59" s="104" t="s">
        <v>117</v>
      </c>
    </row>
    <row r="60" spans="1:4" ht="16.5" customHeight="1" x14ac:dyDescent="0.2">
      <c r="A60" s="308" t="s">
        <v>118</v>
      </c>
      <c r="B60" s="223" t="s">
        <v>119</v>
      </c>
      <c r="C60" s="87">
        <v>176</v>
      </c>
      <c r="D60" s="84"/>
    </row>
    <row r="61" spans="1:4" ht="16.5" customHeight="1" x14ac:dyDescent="0.2">
      <c r="A61" s="309"/>
      <c r="B61" s="12" t="s">
        <v>120</v>
      </c>
      <c r="C61" s="88"/>
      <c r="D61" s="85"/>
    </row>
    <row r="62" spans="1:4" ht="16.5" customHeight="1" x14ac:dyDescent="0.2">
      <c r="A62" s="310"/>
      <c r="B62" s="13" t="s">
        <v>121</v>
      </c>
      <c r="C62" s="89"/>
      <c r="D62" s="86"/>
    </row>
    <row r="96" spans="1:1" hidden="1" x14ac:dyDescent="0.2">
      <c r="A96" s="236">
        <f>SUM(D13:D37,B42:B52,B57,C60:C62)</f>
        <v>9902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D40:D41"/>
    <mergeCell ref="B40:B41"/>
    <mergeCell ref="A60:A62"/>
    <mergeCell ref="A59:B59"/>
    <mergeCell ref="B55:B56"/>
    <mergeCell ref="A40:A41"/>
    <mergeCell ref="A55:A5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0"/>
  <sheetViews>
    <sheetView showGridLines="0" tabSelected="1" topLeftCell="A168" zoomScaleNormal="100" workbookViewId="0">
      <selection activeCell="H182" sqref="H182"/>
    </sheetView>
  </sheetViews>
  <sheetFormatPr baseColWidth="10" defaultColWidth="11.42578125" defaultRowHeight="14.1" customHeight="1" x14ac:dyDescent="0.2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 x14ac:dyDescent="0.15">
      <c r="A1" s="50" t="s">
        <v>63</v>
      </c>
      <c r="B1" s="122"/>
      <c r="U1" s="54"/>
    </row>
    <row r="2" spans="1:21" s="53" customFormat="1" ht="14.1" customHeight="1" x14ac:dyDescent="0.15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 x14ac:dyDescent="0.15">
      <c r="A3" s="50" t="str">
        <f>CONCATENATE("ESTABLECIMIENTO/ESTRATEGIA: ",NOMBRE!B3,"  ","( ",NOMBRE!C3,NOMBRE!D3,NOMBRE!E3,NOMBRE!F3,NOMBRE!G3,NOMBRE!H3," )")</f>
        <v>ESTABLECIMIENTO/ESTRATEGIA: CENTRO DE SALUD FAMILIAR LABRANZA  ( 121350 )</v>
      </c>
      <c r="B3" s="122"/>
      <c r="U3" s="54"/>
    </row>
    <row r="4" spans="1:21" s="53" customFormat="1" ht="14.1" customHeight="1" x14ac:dyDescent="0.15">
      <c r="A4" s="50" t="str">
        <f>CONCATENATE("MES: ",NOMBRE!B6,"  ","( ",NOMBRE!C6,NOMBRE!D6," )")</f>
        <v>MES: ENERO  ( 01 )</v>
      </c>
      <c r="B4" s="122"/>
      <c r="U4" s="54"/>
    </row>
    <row r="5" spans="1:21" s="53" customFormat="1" ht="14.1" customHeight="1" x14ac:dyDescent="0.15">
      <c r="A5" s="50" t="str">
        <f>CONCATENATE("AÑO: ",NOMBRE!B7)</f>
        <v>AÑO: 2025</v>
      </c>
      <c r="B5" s="122"/>
      <c r="U5" s="54"/>
    </row>
    <row r="6" spans="1:21" s="53" customFormat="1" ht="14.1" customHeight="1" x14ac:dyDescent="0.15">
      <c r="A6" s="330"/>
      <c r="B6" s="330"/>
      <c r="C6" s="330"/>
      <c r="U6" s="54"/>
    </row>
    <row r="7" spans="1:21" s="53" customFormat="1" ht="36.75" customHeight="1" x14ac:dyDescent="0.15">
      <c r="A7" s="344" t="s">
        <v>122</v>
      </c>
      <c r="B7" s="344"/>
      <c r="C7" s="344"/>
      <c r="D7" s="344"/>
      <c r="E7" s="344"/>
      <c r="F7" s="344"/>
      <c r="U7" s="54"/>
    </row>
    <row r="8" spans="1:21" s="53" customFormat="1" ht="14.1" customHeight="1" x14ac:dyDescent="0.15">
      <c r="A8" s="55"/>
      <c r="B8" s="119"/>
      <c r="U8" s="54"/>
    </row>
    <row r="9" spans="1:21" s="53" customFormat="1" ht="14.1" customHeight="1" x14ac:dyDescent="0.15">
      <c r="A9" s="123" t="s">
        <v>65</v>
      </c>
      <c r="B9" s="120"/>
      <c r="U9" s="54"/>
    </row>
    <row r="10" spans="1:21" ht="14.1" customHeight="1" x14ac:dyDescent="0.2">
      <c r="A10" s="341" t="s">
        <v>1</v>
      </c>
      <c r="B10" s="323" t="s">
        <v>66</v>
      </c>
      <c r="C10" s="337" t="s">
        <v>67</v>
      </c>
      <c r="D10" s="323" t="s">
        <v>68</v>
      </c>
      <c r="E10" s="342" t="s">
        <v>69</v>
      </c>
      <c r="F10" s="323" t="s">
        <v>123</v>
      </c>
    </row>
    <row r="11" spans="1:21" ht="18" customHeight="1" x14ac:dyDescent="0.2">
      <c r="A11" s="341"/>
      <c r="B11" s="324"/>
      <c r="C11" s="338"/>
      <c r="D11" s="324"/>
      <c r="E11" s="343"/>
      <c r="F11" s="324"/>
    </row>
    <row r="12" spans="1:21" ht="15" customHeight="1" x14ac:dyDescent="0.2">
      <c r="A12" s="333" t="s">
        <v>124</v>
      </c>
      <c r="B12" s="333"/>
      <c r="C12" s="325"/>
      <c r="D12" s="326"/>
      <c r="E12" s="326"/>
      <c r="F12" s="339"/>
    </row>
    <row r="13" spans="1:21" ht="15" customHeight="1" x14ac:dyDescent="0.2">
      <c r="A13" s="56" t="s">
        <v>125</v>
      </c>
      <c r="B13" s="121" t="s">
        <v>126</v>
      </c>
      <c r="C13" s="64">
        <f t="shared" ref="C13:C17" si="0">SUM(D13:E13)</f>
        <v>0</v>
      </c>
      <c r="D13" s="65"/>
      <c r="E13" s="114"/>
      <c r="F13" s="65"/>
    </row>
    <row r="14" spans="1:21" ht="15" customHeight="1" x14ac:dyDescent="0.2">
      <c r="A14" s="56" t="s">
        <v>127</v>
      </c>
      <c r="B14" s="121" t="s">
        <v>128</v>
      </c>
      <c r="C14" s="64">
        <f t="shared" si="0"/>
        <v>0</v>
      </c>
      <c r="D14" s="65"/>
      <c r="E14" s="114"/>
      <c r="F14" s="65"/>
    </row>
    <row r="15" spans="1:21" ht="21.95" customHeight="1" x14ac:dyDescent="0.2">
      <c r="A15" s="56" t="s">
        <v>129</v>
      </c>
      <c r="B15" s="121" t="s">
        <v>130</v>
      </c>
      <c r="C15" s="64">
        <f t="shared" si="0"/>
        <v>0</v>
      </c>
      <c r="D15" s="65"/>
      <c r="E15" s="114"/>
      <c r="F15" s="65"/>
    </row>
    <row r="16" spans="1:21" ht="15" customHeight="1" x14ac:dyDescent="0.2">
      <c r="A16" s="56" t="s">
        <v>131</v>
      </c>
      <c r="B16" s="121" t="s">
        <v>132</v>
      </c>
      <c r="C16" s="64">
        <f t="shared" si="0"/>
        <v>0</v>
      </c>
      <c r="D16" s="65"/>
      <c r="E16" s="114"/>
      <c r="F16" s="65"/>
    </row>
    <row r="17" spans="1:6" ht="15" customHeight="1" x14ac:dyDescent="0.2">
      <c r="A17" s="56" t="s">
        <v>133</v>
      </c>
      <c r="B17" s="121" t="s">
        <v>134</v>
      </c>
      <c r="C17" s="64">
        <f t="shared" si="0"/>
        <v>0</v>
      </c>
      <c r="D17" s="65"/>
      <c r="E17" s="114"/>
      <c r="F17" s="65"/>
    </row>
    <row r="18" spans="1:6" ht="15" customHeight="1" x14ac:dyDescent="0.2">
      <c r="A18" s="56" t="s">
        <v>135</v>
      </c>
      <c r="B18" s="121" t="s">
        <v>136</v>
      </c>
      <c r="C18" s="64">
        <f t="shared" ref="C18:C19" si="1">SUM(D18:E18)</f>
        <v>0</v>
      </c>
      <c r="D18" s="65"/>
      <c r="E18" s="114"/>
      <c r="F18" s="65"/>
    </row>
    <row r="19" spans="1:6" ht="15" customHeight="1" x14ac:dyDescent="0.2">
      <c r="A19" s="56" t="s">
        <v>137</v>
      </c>
      <c r="B19" s="121" t="s">
        <v>138</v>
      </c>
      <c r="C19" s="64">
        <f t="shared" si="1"/>
        <v>0</v>
      </c>
      <c r="D19" s="65"/>
      <c r="E19" s="114"/>
      <c r="F19" s="65"/>
    </row>
    <row r="20" spans="1:6" ht="15" customHeight="1" x14ac:dyDescent="0.2">
      <c r="A20" s="331" t="s">
        <v>67</v>
      </c>
      <c r="B20" s="332"/>
      <c r="C20" s="171">
        <f>SUM(C13:C19)</f>
        <v>0</v>
      </c>
      <c r="D20" s="172">
        <f>SUM(D13:D19)</f>
        <v>0</v>
      </c>
      <c r="E20" s="173">
        <f>SUM(E13:E19)</f>
        <v>0</v>
      </c>
      <c r="F20" s="172">
        <f>SUM(F13:F19)</f>
        <v>0</v>
      </c>
    </row>
    <row r="21" spans="1:6" ht="15" customHeight="1" x14ac:dyDescent="0.2">
      <c r="A21" s="169"/>
      <c r="B21" s="169"/>
      <c r="C21" s="170"/>
      <c r="D21" s="170"/>
      <c r="E21" s="170"/>
      <c r="F21" s="170"/>
    </row>
    <row r="22" spans="1:6" ht="15" customHeight="1" x14ac:dyDescent="0.2">
      <c r="A22" s="333" t="s">
        <v>139</v>
      </c>
      <c r="B22" s="333"/>
      <c r="C22" s="334"/>
      <c r="D22" s="335"/>
      <c r="E22" s="335"/>
      <c r="F22" s="336"/>
    </row>
    <row r="23" spans="1:6" ht="15" customHeight="1" x14ac:dyDescent="0.2">
      <c r="A23" s="56" t="s">
        <v>140</v>
      </c>
      <c r="B23" s="121" t="s">
        <v>141</v>
      </c>
      <c r="C23" s="64">
        <f t="shared" ref="C23:C34" si="2">SUM(D23:E23)</f>
        <v>0</v>
      </c>
      <c r="D23" s="65"/>
      <c r="E23" s="114"/>
      <c r="F23" s="65"/>
    </row>
    <row r="24" spans="1:6" ht="15" customHeight="1" x14ac:dyDescent="0.2">
      <c r="A24" s="56" t="s">
        <v>142</v>
      </c>
      <c r="B24" s="121" t="s">
        <v>143</v>
      </c>
      <c r="C24" s="64">
        <f t="shared" si="2"/>
        <v>0</v>
      </c>
      <c r="D24" s="65"/>
      <c r="E24" s="114"/>
      <c r="F24" s="65"/>
    </row>
    <row r="25" spans="1:6" ht="15" customHeight="1" x14ac:dyDescent="0.2">
      <c r="A25" s="56" t="s">
        <v>144</v>
      </c>
      <c r="B25" s="121" t="s">
        <v>145</v>
      </c>
      <c r="C25" s="64">
        <f t="shared" si="2"/>
        <v>0</v>
      </c>
      <c r="D25" s="65"/>
      <c r="E25" s="114"/>
      <c r="F25" s="65"/>
    </row>
    <row r="26" spans="1:6" ht="15" customHeight="1" x14ac:dyDescent="0.2">
      <c r="A26" s="56" t="s">
        <v>146</v>
      </c>
      <c r="B26" s="121" t="s">
        <v>147</v>
      </c>
      <c r="C26" s="64">
        <f t="shared" si="2"/>
        <v>0</v>
      </c>
      <c r="D26" s="65"/>
      <c r="E26" s="114"/>
      <c r="F26" s="65"/>
    </row>
    <row r="27" spans="1:6" ht="15" customHeight="1" x14ac:dyDescent="0.2">
      <c r="A27" s="56" t="s">
        <v>148</v>
      </c>
      <c r="B27" s="121" t="s">
        <v>149</v>
      </c>
      <c r="C27" s="64">
        <f t="shared" si="2"/>
        <v>0</v>
      </c>
      <c r="D27" s="65"/>
      <c r="E27" s="114"/>
      <c r="F27" s="65"/>
    </row>
    <row r="28" spans="1:6" ht="21.95" customHeight="1" x14ac:dyDescent="0.2">
      <c r="A28" s="56" t="s">
        <v>150</v>
      </c>
      <c r="B28" s="121" t="s">
        <v>151</v>
      </c>
      <c r="C28" s="64">
        <f t="shared" si="2"/>
        <v>0</v>
      </c>
      <c r="D28" s="65"/>
      <c r="E28" s="114"/>
      <c r="F28" s="65"/>
    </row>
    <row r="29" spans="1:6" ht="31.5" x14ac:dyDescent="0.2">
      <c r="A29" s="56" t="s">
        <v>152</v>
      </c>
      <c r="B29" s="121" t="s">
        <v>153</v>
      </c>
      <c r="C29" s="64">
        <f t="shared" si="2"/>
        <v>0</v>
      </c>
      <c r="D29" s="65"/>
      <c r="E29" s="114"/>
      <c r="F29" s="65"/>
    </row>
    <row r="30" spans="1:6" ht="15" customHeight="1" x14ac:dyDescent="0.2">
      <c r="A30" s="56" t="s">
        <v>154</v>
      </c>
      <c r="B30" s="121" t="s">
        <v>155</v>
      </c>
      <c r="C30" s="64">
        <f t="shared" si="2"/>
        <v>0</v>
      </c>
      <c r="D30" s="65"/>
      <c r="E30" s="114"/>
      <c r="F30" s="65"/>
    </row>
    <row r="31" spans="1:6" ht="15" customHeight="1" x14ac:dyDescent="0.2">
      <c r="A31" s="56" t="s">
        <v>156</v>
      </c>
      <c r="B31" s="121" t="s">
        <v>157</v>
      </c>
      <c r="C31" s="64">
        <f t="shared" si="2"/>
        <v>0</v>
      </c>
      <c r="D31" s="65"/>
      <c r="E31" s="114"/>
      <c r="F31" s="65"/>
    </row>
    <row r="32" spans="1:6" ht="11.25" x14ac:dyDescent="0.2">
      <c r="A32" s="56" t="s">
        <v>158</v>
      </c>
      <c r="B32" s="121" t="s">
        <v>159</v>
      </c>
      <c r="C32" s="64">
        <f t="shared" si="2"/>
        <v>0</v>
      </c>
      <c r="D32" s="65"/>
      <c r="E32" s="114"/>
      <c r="F32" s="65"/>
    </row>
    <row r="33" spans="1:6" ht="15" customHeight="1" x14ac:dyDescent="0.2">
      <c r="A33" s="56" t="s">
        <v>160</v>
      </c>
      <c r="B33" s="121" t="s">
        <v>161</v>
      </c>
      <c r="C33" s="64">
        <f t="shared" si="2"/>
        <v>0</v>
      </c>
      <c r="D33" s="65"/>
      <c r="E33" s="114"/>
      <c r="F33" s="65"/>
    </row>
    <row r="34" spans="1:6" ht="21.95" customHeight="1" x14ac:dyDescent="0.2">
      <c r="A34" s="56" t="s">
        <v>162</v>
      </c>
      <c r="B34" s="121" t="s">
        <v>163</v>
      </c>
      <c r="C34" s="64">
        <f t="shared" si="2"/>
        <v>0</v>
      </c>
      <c r="D34" s="65"/>
      <c r="E34" s="114"/>
      <c r="F34" s="65"/>
    </row>
    <row r="35" spans="1:6" ht="15" customHeight="1" x14ac:dyDescent="0.2">
      <c r="A35" s="56" t="s">
        <v>164</v>
      </c>
      <c r="B35" s="121" t="s">
        <v>165</v>
      </c>
      <c r="C35" s="64">
        <f t="shared" ref="C35:C39" si="3">SUM(D35:E35)</f>
        <v>0</v>
      </c>
      <c r="D35" s="65"/>
      <c r="E35" s="114"/>
      <c r="F35" s="65"/>
    </row>
    <row r="36" spans="1:6" ht="14.25" customHeight="1" x14ac:dyDescent="0.2">
      <c r="A36" s="56" t="s">
        <v>166</v>
      </c>
      <c r="B36" s="121" t="s">
        <v>167</v>
      </c>
      <c r="C36" s="64">
        <f t="shared" si="3"/>
        <v>0</v>
      </c>
      <c r="D36" s="65"/>
      <c r="E36" s="114"/>
      <c r="F36" s="65"/>
    </row>
    <row r="37" spans="1:6" ht="15" customHeight="1" x14ac:dyDescent="0.2">
      <c r="A37" s="56" t="s">
        <v>168</v>
      </c>
      <c r="B37" s="121" t="s">
        <v>169</v>
      </c>
      <c r="C37" s="64">
        <f t="shared" ref="C37" si="4">SUM(D37:E37)</f>
        <v>0</v>
      </c>
      <c r="D37" s="65"/>
      <c r="E37" s="114"/>
      <c r="F37" s="65"/>
    </row>
    <row r="38" spans="1:6" ht="15" customHeight="1" x14ac:dyDescent="0.2">
      <c r="A38" s="56" t="s">
        <v>170</v>
      </c>
      <c r="B38" s="121" t="s">
        <v>171</v>
      </c>
      <c r="C38" s="64">
        <f t="shared" si="3"/>
        <v>0</v>
      </c>
      <c r="D38" s="65"/>
      <c r="E38" s="114"/>
      <c r="F38" s="65"/>
    </row>
    <row r="39" spans="1:6" ht="15" customHeight="1" x14ac:dyDescent="0.2">
      <c r="A39" s="56" t="s">
        <v>172</v>
      </c>
      <c r="B39" s="121" t="s">
        <v>173</v>
      </c>
      <c r="C39" s="64">
        <f t="shared" si="3"/>
        <v>0</v>
      </c>
      <c r="D39" s="65"/>
      <c r="E39" s="114"/>
      <c r="F39" s="65"/>
    </row>
    <row r="40" spans="1:6" ht="15" customHeight="1" x14ac:dyDescent="0.2">
      <c r="A40" s="317" t="s">
        <v>67</v>
      </c>
      <c r="B40" s="340"/>
      <c r="C40" s="160">
        <f>SUM(C23:C39)</f>
        <v>0</v>
      </c>
      <c r="D40" s="160">
        <f>SUM(D23:D39)</f>
        <v>0</v>
      </c>
      <c r="E40" s="161">
        <f>SUM(E23:E39)</f>
        <v>0</v>
      </c>
      <c r="F40" s="160">
        <f>SUM(F23:F39)</f>
        <v>0</v>
      </c>
    </row>
    <row r="41" spans="1:6" ht="15" customHeight="1" x14ac:dyDescent="0.2">
      <c r="A41" s="130"/>
      <c r="B41" s="130"/>
      <c r="C41" s="135"/>
      <c r="D41" s="135"/>
      <c r="E41" s="135"/>
      <c r="F41" s="135"/>
    </row>
    <row r="42" spans="1:6" ht="15" customHeight="1" x14ac:dyDescent="0.2">
      <c r="A42" s="319" t="s">
        <v>174</v>
      </c>
      <c r="B42" s="320"/>
      <c r="C42" s="345"/>
      <c r="D42" s="345"/>
      <c r="E42" s="345"/>
      <c r="F42" s="346"/>
    </row>
    <row r="43" spans="1:6" ht="15" customHeight="1" x14ac:dyDescent="0.2">
      <c r="A43" s="239" t="s">
        <v>175</v>
      </c>
      <c r="B43" s="211" t="s">
        <v>176</v>
      </c>
      <c r="C43" s="64">
        <f t="shared" ref="C43:C45" si="5">SUM(D43:E43)</f>
        <v>0</v>
      </c>
      <c r="D43" s="65"/>
      <c r="E43" s="114"/>
      <c r="F43" s="65"/>
    </row>
    <row r="44" spans="1:6" ht="15" customHeight="1" x14ac:dyDescent="0.2">
      <c r="A44" s="56" t="s">
        <v>177</v>
      </c>
      <c r="B44" s="121" t="s">
        <v>178</v>
      </c>
      <c r="C44" s="64">
        <f t="shared" si="5"/>
        <v>0</v>
      </c>
      <c r="D44" s="65"/>
      <c r="E44" s="114"/>
      <c r="F44" s="65"/>
    </row>
    <row r="45" spans="1:6" ht="15" customHeight="1" x14ac:dyDescent="0.2">
      <c r="A45" s="56" t="s">
        <v>179</v>
      </c>
      <c r="B45" s="121" t="s">
        <v>180</v>
      </c>
      <c r="C45" s="64">
        <f t="shared" si="5"/>
        <v>0</v>
      </c>
      <c r="D45" s="65"/>
      <c r="E45" s="114"/>
      <c r="F45" s="65"/>
    </row>
    <row r="46" spans="1:6" ht="15" customHeight="1" x14ac:dyDescent="0.2">
      <c r="A46" s="317" t="s">
        <v>67</v>
      </c>
      <c r="B46" s="318"/>
      <c r="C46" s="167">
        <f>SUM(C43:C45)</f>
        <v>0</v>
      </c>
      <c r="D46" s="160">
        <f>SUM(D43:D45)</f>
        <v>0</v>
      </c>
      <c r="E46" s="161">
        <f>SUM(E43:E45)</f>
        <v>0</v>
      </c>
      <c r="F46" s="162">
        <f>SUM(F43:F45)</f>
        <v>0</v>
      </c>
    </row>
    <row r="47" spans="1:6" ht="15" customHeight="1" x14ac:dyDescent="0.2">
      <c r="A47" s="130"/>
      <c r="B47" s="130"/>
      <c r="C47" s="135"/>
      <c r="D47" s="135"/>
      <c r="E47" s="135"/>
      <c r="F47" s="135"/>
    </row>
    <row r="48" spans="1:6" ht="15" customHeight="1" x14ac:dyDescent="0.2">
      <c r="A48" s="319" t="s">
        <v>79</v>
      </c>
      <c r="B48" s="320"/>
      <c r="C48" s="347"/>
      <c r="D48" s="347"/>
      <c r="E48" s="347"/>
      <c r="F48" s="348"/>
    </row>
    <row r="49" spans="1:6" ht="15" customHeight="1" x14ac:dyDescent="0.2">
      <c r="A49" s="240" t="s">
        <v>181</v>
      </c>
      <c r="B49" s="211" t="s">
        <v>182</v>
      </c>
      <c r="C49" s="64">
        <f t="shared" ref="C49:C50" si="6">SUM(D49:E49)</f>
        <v>0</v>
      </c>
      <c r="D49" s="65"/>
      <c r="E49" s="114"/>
      <c r="F49" s="65"/>
    </row>
    <row r="50" spans="1:6" ht="15" customHeight="1" x14ac:dyDescent="0.2">
      <c r="A50" s="57" t="s">
        <v>183</v>
      </c>
      <c r="B50" s="121" t="s">
        <v>184</v>
      </c>
      <c r="C50" s="64">
        <f t="shared" si="6"/>
        <v>0</v>
      </c>
      <c r="D50" s="65"/>
      <c r="E50" s="114"/>
      <c r="F50" s="65"/>
    </row>
    <row r="51" spans="1:6" ht="15" customHeight="1" x14ac:dyDescent="0.2">
      <c r="A51" s="317" t="s">
        <v>67</v>
      </c>
      <c r="B51" s="318"/>
      <c r="C51" s="167">
        <f>SUM(C49:C50)</f>
        <v>0</v>
      </c>
      <c r="D51" s="160">
        <f>SUM(D49:D50)</f>
        <v>0</v>
      </c>
      <c r="E51" s="161">
        <f>SUM(E49:E50)</f>
        <v>0</v>
      </c>
      <c r="F51" s="162">
        <f>SUM(F49:F50)</f>
        <v>0</v>
      </c>
    </row>
    <row r="52" spans="1:6" ht="15" customHeight="1" x14ac:dyDescent="0.2">
      <c r="A52" s="130"/>
      <c r="B52" s="130"/>
      <c r="C52" s="135"/>
      <c r="D52" s="135"/>
      <c r="E52" s="135"/>
      <c r="F52" s="135"/>
    </row>
    <row r="53" spans="1:6" ht="15" customHeight="1" x14ac:dyDescent="0.2">
      <c r="A53" s="319" t="s">
        <v>81</v>
      </c>
      <c r="B53" s="320"/>
      <c r="C53" s="349"/>
      <c r="D53" s="347"/>
      <c r="E53" s="347"/>
      <c r="F53" s="348"/>
    </row>
    <row r="54" spans="1:6" ht="15" customHeight="1" x14ac:dyDescent="0.2">
      <c r="A54" s="57" t="s">
        <v>185</v>
      </c>
      <c r="B54" s="121" t="s">
        <v>186</v>
      </c>
      <c r="C54" s="64">
        <f t="shared" ref="C54:C64" si="7">SUM(D54:E54)</f>
        <v>0</v>
      </c>
      <c r="D54" s="65"/>
      <c r="E54" s="114"/>
      <c r="F54" s="65"/>
    </row>
    <row r="55" spans="1:6" ht="15" customHeight="1" x14ac:dyDescent="0.2">
      <c r="A55" s="57" t="s">
        <v>187</v>
      </c>
      <c r="B55" s="121" t="s">
        <v>188</v>
      </c>
      <c r="C55" s="64">
        <f t="shared" si="7"/>
        <v>0</v>
      </c>
      <c r="D55" s="65"/>
      <c r="E55" s="114"/>
      <c r="F55" s="65"/>
    </row>
    <row r="56" spans="1:6" ht="15" customHeight="1" x14ac:dyDescent="0.2">
      <c r="A56" s="57" t="s">
        <v>189</v>
      </c>
      <c r="B56" s="121" t="s">
        <v>190</v>
      </c>
      <c r="C56" s="64">
        <f t="shared" si="7"/>
        <v>0</v>
      </c>
      <c r="D56" s="65"/>
      <c r="E56" s="114"/>
      <c r="F56" s="65"/>
    </row>
    <row r="57" spans="1:6" ht="15" customHeight="1" x14ac:dyDescent="0.2">
      <c r="A57" s="57" t="s">
        <v>191</v>
      </c>
      <c r="B57" s="121" t="s">
        <v>192</v>
      </c>
      <c r="C57" s="64">
        <f t="shared" si="7"/>
        <v>0</v>
      </c>
      <c r="D57" s="65"/>
      <c r="E57" s="114"/>
      <c r="F57" s="65"/>
    </row>
    <row r="58" spans="1:6" ht="11.25" x14ac:dyDescent="0.2">
      <c r="A58" s="57" t="s">
        <v>193</v>
      </c>
      <c r="B58" s="121" t="s">
        <v>194</v>
      </c>
      <c r="C58" s="64">
        <f t="shared" si="7"/>
        <v>0</v>
      </c>
      <c r="D58" s="65"/>
      <c r="E58" s="114"/>
      <c r="F58" s="65"/>
    </row>
    <row r="59" spans="1:6" ht="15" customHeight="1" x14ac:dyDescent="0.2">
      <c r="A59" s="57" t="s">
        <v>195</v>
      </c>
      <c r="B59" s="121" t="s">
        <v>196</v>
      </c>
      <c r="C59" s="64">
        <f t="shared" si="7"/>
        <v>0</v>
      </c>
      <c r="D59" s="65"/>
      <c r="E59" s="114"/>
      <c r="F59" s="65"/>
    </row>
    <row r="60" spans="1:6" ht="15" customHeight="1" x14ac:dyDescent="0.2">
      <c r="A60" s="56" t="s">
        <v>197</v>
      </c>
      <c r="B60" s="121" t="s">
        <v>198</v>
      </c>
      <c r="C60" s="64">
        <f t="shared" si="7"/>
        <v>0</v>
      </c>
      <c r="D60" s="65"/>
      <c r="E60" s="114"/>
      <c r="F60" s="65"/>
    </row>
    <row r="61" spans="1:6" ht="15" customHeight="1" x14ac:dyDescent="0.2">
      <c r="A61" s="57" t="s">
        <v>199</v>
      </c>
      <c r="B61" s="121" t="s">
        <v>200</v>
      </c>
      <c r="C61" s="64">
        <f t="shared" si="7"/>
        <v>0</v>
      </c>
      <c r="D61" s="65"/>
      <c r="E61" s="114"/>
      <c r="F61" s="65"/>
    </row>
    <row r="62" spans="1:6" ht="21" x14ac:dyDescent="0.2">
      <c r="A62" s="57" t="s">
        <v>201</v>
      </c>
      <c r="B62" s="121" t="s">
        <v>202</v>
      </c>
      <c r="C62" s="64">
        <f t="shared" si="7"/>
        <v>0</v>
      </c>
      <c r="D62" s="65"/>
      <c r="E62" s="114"/>
      <c r="F62" s="65"/>
    </row>
    <row r="63" spans="1:6" ht="15" customHeight="1" x14ac:dyDescent="0.2">
      <c r="A63" s="57" t="s">
        <v>203</v>
      </c>
      <c r="B63" s="121" t="s">
        <v>204</v>
      </c>
      <c r="C63" s="64">
        <f t="shared" si="7"/>
        <v>0</v>
      </c>
      <c r="D63" s="65"/>
      <c r="E63" s="114"/>
      <c r="F63" s="65"/>
    </row>
    <row r="64" spans="1:6" ht="21" x14ac:dyDescent="0.2">
      <c r="A64" s="57" t="s">
        <v>205</v>
      </c>
      <c r="B64" s="121" t="s">
        <v>206</v>
      </c>
      <c r="C64" s="64">
        <f t="shared" si="7"/>
        <v>0</v>
      </c>
      <c r="D64" s="65"/>
      <c r="E64" s="114"/>
      <c r="F64" s="65"/>
    </row>
    <row r="65" spans="1:6" ht="15" customHeight="1" x14ac:dyDescent="0.2">
      <c r="A65" s="58" t="s">
        <v>207</v>
      </c>
      <c r="B65" s="129" t="s">
        <v>208</v>
      </c>
      <c r="C65" s="66">
        <f t="shared" ref="C65" si="8">SUM(D65:E65)</f>
        <v>0</v>
      </c>
      <c r="D65" s="67"/>
      <c r="E65" s="115"/>
      <c r="F65" s="67"/>
    </row>
    <row r="66" spans="1:6" ht="15" customHeight="1" x14ac:dyDescent="0.2">
      <c r="A66" s="317" t="s">
        <v>67</v>
      </c>
      <c r="B66" s="340"/>
      <c r="C66" s="168">
        <f>SUM(C54:C65)</f>
        <v>0</v>
      </c>
      <c r="D66" s="160">
        <f>SUM(D54:D65)</f>
        <v>0</v>
      </c>
      <c r="E66" s="161">
        <f>SUM(E54:E65)</f>
        <v>0</v>
      </c>
      <c r="F66" s="160">
        <f>SUM(F54:F65)</f>
        <v>0</v>
      </c>
    </row>
    <row r="67" spans="1:6" ht="15" customHeight="1" x14ac:dyDescent="0.2">
      <c r="A67" s="238"/>
      <c r="B67" s="238"/>
      <c r="C67" s="167"/>
      <c r="D67" s="167"/>
      <c r="E67" s="167"/>
      <c r="F67" s="167"/>
    </row>
    <row r="68" spans="1:6" ht="15" customHeight="1" x14ac:dyDescent="0.2">
      <c r="A68" s="352" t="s">
        <v>209</v>
      </c>
      <c r="B68" s="353"/>
      <c r="C68" s="241"/>
      <c r="D68" s="242"/>
      <c r="E68" s="242"/>
      <c r="F68" s="243"/>
    </row>
    <row r="69" spans="1:6" ht="15" customHeight="1" x14ac:dyDescent="0.2">
      <c r="A69" s="57" t="s">
        <v>210</v>
      </c>
      <c r="B69" s="121" t="s">
        <v>211</v>
      </c>
      <c r="C69" s="64">
        <f t="shared" ref="C69:C70" si="9">SUM(D69:E69)</f>
        <v>0</v>
      </c>
      <c r="D69" s="65"/>
      <c r="E69" s="114"/>
      <c r="F69" s="65"/>
    </row>
    <row r="70" spans="1:6" ht="15" customHeight="1" x14ac:dyDescent="0.2">
      <c r="A70" s="57" t="s">
        <v>212</v>
      </c>
      <c r="B70" s="121" t="s">
        <v>213</v>
      </c>
      <c r="C70" s="64">
        <f t="shared" si="9"/>
        <v>0</v>
      </c>
      <c r="D70" s="65"/>
      <c r="E70" s="114"/>
      <c r="F70" s="65"/>
    </row>
    <row r="71" spans="1:6" ht="15" customHeight="1" x14ac:dyDescent="0.2">
      <c r="A71" s="317" t="s">
        <v>67</v>
      </c>
      <c r="B71" s="340"/>
      <c r="C71" s="168">
        <f>SUM(C69:C70)</f>
        <v>0</v>
      </c>
      <c r="D71" s="160">
        <f>SUM(D69:D70)</f>
        <v>0</v>
      </c>
      <c r="E71" s="161">
        <f>SUM(E69:E70)</f>
        <v>0</v>
      </c>
      <c r="F71" s="162">
        <f>SUM(F69:F70)</f>
        <v>0</v>
      </c>
    </row>
    <row r="72" spans="1:6" ht="15" customHeight="1" x14ac:dyDescent="0.2">
      <c r="A72" s="130"/>
      <c r="B72" s="130"/>
      <c r="C72" s="135"/>
      <c r="D72" s="135"/>
      <c r="E72" s="135"/>
      <c r="F72" s="135"/>
    </row>
    <row r="73" spans="1:6" ht="15" customHeight="1" x14ac:dyDescent="0.2">
      <c r="A73" s="319" t="s">
        <v>214</v>
      </c>
      <c r="B73" s="327"/>
      <c r="C73" s="137"/>
      <c r="D73" s="125"/>
      <c r="E73" s="125"/>
      <c r="F73" s="136"/>
    </row>
    <row r="74" spans="1:6" ht="15" customHeight="1" x14ac:dyDescent="0.2">
      <c r="A74" s="57" t="s">
        <v>215</v>
      </c>
      <c r="B74" s="121" t="s">
        <v>216</v>
      </c>
      <c r="C74" s="64">
        <f t="shared" ref="C74:C80" si="10">SUM(D74:E74)</f>
        <v>0</v>
      </c>
      <c r="D74" s="65"/>
      <c r="E74" s="114"/>
      <c r="F74" s="65"/>
    </row>
    <row r="75" spans="1:6" ht="15" customHeight="1" x14ac:dyDescent="0.2">
      <c r="A75" s="57" t="s">
        <v>217</v>
      </c>
      <c r="B75" s="121" t="s">
        <v>218</v>
      </c>
      <c r="C75" s="64">
        <f t="shared" si="10"/>
        <v>0</v>
      </c>
      <c r="D75" s="65"/>
      <c r="E75" s="114"/>
      <c r="F75" s="65"/>
    </row>
    <row r="76" spans="1:6" ht="15" customHeight="1" x14ac:dyDescent="0.2">
      <c r="A76" s="57" t="s">
        <v>219</v>
      </c>
      <c r="B76" s="121" t="s">
        <v>220</v>
      </c>
      <c r="C76" s="64">
        <f t="shared" si="10"/>
        <v>0</v>
      </c>
      <c r="D76" s="65"/>
      <c r="E76" s="114"/>
      <c r="F76" s="65"/>
    </row>
    <row r="77" spans="1:6" ht="15" customHeight="1" x14ac:dyDescent="0.2">
      <c r="A77" s="57" t="s">
        <v>221</v>
      </c>
      <c r="B77" s="121" t="s">
        <v>222</v>
      </c>
      <c r="C77" s="64">
        <f t="shared" si="10"/>
        <v>0</v>
      </c>
      <c r="D77" s="65"/>
      <c r="E77" s="114"/>
      <c r="F77" s="65"/>
    </row>
    <row r="78" spans="1:6" ht="15" customHeight="1" x14ac:dyDescent="0.2">
      <c r="A78" s="57" t="s">
        <v>223</v>
      </c>
      <c r="B78" s="121" t="s">
        <v>224</v>
      </c>
      <c r="C78" s="64">
        <f t="shared" si="10"/>
        <v>0</v>
      </c>
      <c r="D78" s="65"/>
      <c r="E78" s="114"/>
      <c r="F78" s="65"/>
    </row>
    <row r="79" spans="1:6" ht="21" x14ac:dyDescent="0.2">
      <c r="A79" s="57" t="s">
        <v>225</v>
      </c>
      <c r="B79" s="121" t="s">
        <v>226</v>
      </c>
      <c r="C79" s="64">
        <f t="shared" si="10"/>
        <v>0</v>
      </c>
      <c r="D79" s="65"/>
      <c r="E79" s="114"/>
      <c r="F79" s="65"/>
    </row>
    <row r="80" spans="1:6" ht="15" customHeight="1" x14ac:dyDescent="0.2">
      <c r="A80" s="57" t="s">
        <v>227</v>
      </c>
      <c r="B80" s="121" t="s">
        <v>228</v>
      </c>
      <c r="C80" s="64">
        <f t="shared" si="10"/>
        <v>0</v>
      </c>
      <c r="D80" s="65"/>
      <c r="E80" s="114"/>
      <c r="F80" s="65"/>
    </row>
    <row r="81" spans="1:6" ht="15" customHeight="1" x14ac:dyDescent="0.2">
      <c r="A81" s="317" t="s">
        <v>67</v>
      </c>
      <c r="B81" s="318"/>
      <c r="C81" s="167">
        <f>SUM(C74:C80)</f>
        <v>0</v>
      </c>
      <c r="D81" s="160">
        <f>SUM(D74:D80)</f>
        <v>0</v>
      </c>
      <c r="E81" s="161">
        <f>SUM(E74:E80)</f>
        <v>0</v>
      </c>
      <c r="F81" s="160">
        <f>SUM(F74:F80)</f>
        <v>0</v>
      </c>
    </row>
    <row r="82" spans="1:6" ht="15" customHeight="1" x14ac:dyDescent="0.2">
      <c r="A82" s="317" t="s">
        <v>229</v>
      </c>
      <c r="B82" s="318"/>
      <c r="C82" s="167">
        <f>+C20+C40+C46+C51+C66+C71+C81</f>
        <v>0</v>
      </c>
      <c r="D82" s="160">
        <f>+D20+D40+D46+D51+D66+D71+D81</f>
        <v>0</v>
      </c>
      <c r="E82" s="161">
        <f>+E20+E40+E46+E51+E66+E71+E81</f>
        <v>0</v>
      </c>
      <c r="F82" s="162">
        <f>+F20+F40+F46+F51+F66+F71+F81</f>
        <v>0</v>
      </c>
    </row>
    <row r="83" spans="1:6" ht="15" customHeight="1" x14ac:dyDescent="0.2">
      <c r="A83" s="130"/>
      <c r="B83" s="130"/>
      <c r="C83" s="135"/>
      <c r="D83" s="135"/>
      <c r="E83" s="135"/>
      <c r="F83" s="135"/>
    </row>
    <row r="84" spans="1:6" ht="15" customHeight="1" x14ac:dyDescent="0.2">
      <c r="A84" s="350" t="s">
        <v>230</v>
      </c>
      <c r="B84" s="351"/>
      <c r="C84" s="321"/>
      <c r="D84" s="321"/>
      <c r="E84" s="321"/>
      <c r="F84" s="322"/>
    </row>
    <row r="85" spans="1:6" ht="15" customHeight="1" x14ac:dyDescent="0.2">
      <c r="A85" s="193" t="s">
        <v>231</v>
      </c>
      <c r="B85" s="128" t="s">
        <v>232</v>
      </c>
      <c r="C85" s="188">
        <f t="shared" ref="C85:C106" si="11">SUM(D85:E85)</f>
        <v>0</v>
      </c>
      <c r="D85" s="63"/>
      <c r="E85" s="113"/>
      <c r="F85" s="63"/>
    </row>
    <row r="86" spans="1:6" ht="15" customHeight="1" x14ac:dyDescent="0.2">
      <c r="A86" s="57" t="s">
        <v>233</v>
      </c>
      <c r="B86" s="121" t="s">
        <v>234</v>
      </c>
      <c r="C86" s="64">
        <f t="shared" si="11"/>
        <v>0</v>
      </c>
      <c r="D86" s="65"/>
      <c r="E86" s="114"/>
      <c r="F86" s="65"/>
    </row>
    <row r="87" spans="1:6" ht="15" customHeight="1" x14ac:dyDescent="0.2">
      <c r="A87" s="57" t="s">
        <v>235</v>
      </c>
      <c r="B87" s="121" t="s">
        <v>236</v>
      </c>
      <c r="C87" s="64">
        <f t="shared" si="11"/>
        <v>0</v>
      </c>
      <c r="D87" s="65"/>
      <c r="E87" s="114"/>
      <c r="F87" s="65"/>
    </row>
    <row r="88" spans="1:6" ht="15" customHeight="1" x14ac:dyDescent="0.2">
      <c r="A88" s="57" t="s">
        <v>237</v>
      </c>
      <c r="B88" s="121" t="s">
        <v>238</v>
      </c>
      <c r="C88" s="64">
        <f t="shared" si="11"/>
        <v>140</v>
      </c>
      <c r="D88" s="65"/>
      <c r="E88" s="114">
        <v>140</v>
      </c>
      <c r="F88" s="65"/>
    </row>
    <row r="89" spans="1:6" ht="15" customHeight="1" x14ac:dyDescent="0.2">
      <c r="A89" s="57" t="s">
        <v>239</v>
      </c>
      <c r="B89" s="121" t="s">
        <v>240</v>
      </c>
      <c r="C89" s="64">
        <f t="shared" si="11"/>
        <v>0</v>
      </c>
      <c r="D89" s="65"/>
      <c r="E89" s="114"/>
      <c r="F89" s="65"/>
    </row>
    <row r="90" spans="1:6" ht="15" customHeight="1" x14ac:dyDescent="0.2">
      <c r="A90" s="57" t="s">
        <v>241</v>
      </c>
      <c r="B90" s="121" t="s">
        <v>242</v>
      </c>
      <c r="C90" s="64">
        <f t="shared" si="11"/>
        <v>0</v>
      </c>
      <c r="D90" s="65"/>
      <c r="E90" s="114"/>
      <c r="F90" s="65"/>
    </row>
    <row r="91" spans="1:6" ht="15" customHeight="1" x14ac:dyDescent="0.2">
      <c r="A91" s="57" t="s">
        <v>243</v>
      </c>
      <c r="B91" s="121" t="s">
        <v>244</v>
      </c>
      <c r="C91" s="64">
        <f t="shared" si="11"/>
        <v>0</v>
      </c>
      <c r="D91" s="65"/>
      <c r="E91" s="114"/>
      <c r="F91" s="65"/>
    </row>
    <row r="92" spans="1:6" ht="15" customHeight="1" x14ac:dyDescent="0.2">
      <c r="A92" s="57" t="s">
        <v>245</v>
      </c>
      <c r="B92" s="121" t="s">
        <v>246</v>
      </c>
      <c r="C92" s="64">
        <f t="shared" si="11"/>
        <v>24</v>
      </c>
      <c r="D92" s="65"/>
      <c r="E92" s="114">
        <v>24</v>
      </c>
      <c r="F92" s="65"/>
    </row>
    <row r="93" spans="1:6" ht="15" customHeight="1" x14ac:dyDescent="0.2">
      <c r="A93" s="57" t="s">
        <v>247</v>
      </c>
      <c r="B93" s="121" t="s">
        <v>248</v>
      </c>
      <c r="C93" s="64">
        <f t="shared" si="11"/>
        <v>0</v>
      </c>
      <c r="D93" s="65"/>
      <c r="E93" s="114">
        <v>0</v>
      </c>
      <c r="F93" s="65"/>
    </row>
    <row r="94" spans="1:6" ht="15" customHeight="1" x14ac:dyDescent="0.2">
      <c r="A94" s="57" t="s">
        <v>249</v>
      </c>
      <c r="B94" s="121" t="s">
        <v>250</v>
      </c>
      <c r="C94" s="64">
        <f t="shared" si="11"/>
        <v>0</v>
      </c>
      <c r="D94" s="65"/>
      <c r="E94" s="114">
        <v>0</v>
      </c>
      <c r="F94" s="65"/>
    </row>
    <row r="95" spans="1:6" ht="15" customHeight="1" x14ac:dyDescent="0.2">
      <c r="A95" s="57" t="s">
        <v>251</v>
      </c>
      <c r="B95" s="121" t="s">
        <v>252</v>
      </c>
      <c r="C95" s="64">
        <f t="shared" si="11"/>
        <v>48</v>
      </c>
      <c r="D95" s="65"/>
      <c r="E95" s="114">
        <v>48</v>
      </c>
      <c r="F95" s="65"/>
    </row>
    <row r="96" spans="1:6" ht="15" customHeight="1" x14ac:dyDescent="0.2">
      <c r="A96" s="57" t="s">
        <v>253</v>
      </c>
      <c r="B96" s="121" t="s">
        <v>254</v>
      </c>
      <c r="C96" s="64">
        <f t="shared" si="11"/>
        <v>81</v>
      </c>
      <c r="D96" s="65"/>
      <c r="E96" s="114">
        <v>81</v>
      </c>
      <c r="F96" s="65"/>
    </row>
    <row r="97" spans="1:6" ht="15" customHeight="1" x14ac:dyDescent="0.2">
      <c r="A97" s="57" t="s">
        <v>255</v>
      </c>
      <c r="B97" s="121" t="s">
        <v>256</v>
      </c>
      <c r="C97" s="64">
        <f t="shared" si="11"/>
        <v>0</v>
      </c>
      <c r="D97" s="65"/>
      <c r="E97" s="114">
        <v>0</v>
      </c>
      <c r="F97" s="65"/>
    </row>
    <row r="98" spans="1:6" ht="15" customHeight="1" x14ac:dyDescent="0.2">
      <c r="A98" s="57" t="s">
        <v>257</v>
      </c>
      <c r="B98" s="121" t="s">
        <v>258</v>
      </c>
      <c r="C98" s="64">
        <f t="shared" si="11"/>
        <v>2</v>
      </c>
      <c r="D98" s="65"/>
      <c r="E98" s="114">
        <v>2</v>
      </c>
      <c r="F98" s="65"/>
    </row>
    <row r="99" spans="1:6" ht="15" customHeight="1" x14ac:dyDescent="0.2">
      <c r="A99" s="57" t="s">
        <v>259</v>
      </c>
      <c r="B99" s="121" t="s">
        <v>260</v>
      </c>
      <c r="C99" s="64">
        <f t="shared" si="11"/>
        <v>9</v>
      </c>
      <c r="D99" s="65"/>
      <c r="E99" s="114">
        <v>9</v>
      </c>
      <c r="F99" s="65"/>
    </row>
    <row r="100" spans="1:6" ht="15" customHeight="1" x14ac:dyDescent="0.2">
      <c r="A100" s="57" t="s">
        <v>261</v>
      </c>
      <c r="B100" s="121" t="s">
        <v>262</v>
      </c>
      <c r="C100" s="64">
        <f t="shared" si="11"/>
        <v>85</v>
      </c>
      <c r="D100" s="65"/>
      <c r="E100" s="114">
        <v>85</v>
      </c>
      <c r="F100" s="65"/>
    </row>
    <row r="101" spans="1:6" ht="15" customHeight="1" x14ac:dyDescent="0.2">
      <c r="A101" s="57" t="s">
        <v>263</v>
      </c>
      <c r="B101" s="121" t="s">
        <v>264</v>
      </c>
      <c r="C101" s="64">
        <f t="shared" si="11"/>
        <v>0</v>
      </c>
      <c r="D101" s="65"/>
      <c r="E101" s="114">
        <v>0</v>
      </c>
      <c r="F101" s="65"/>
    </row>
    <row r="102" spans="1:6" ht="21" x14ac:dyDescent="0.2">
      <c r="A102" s="57" t="s">
        <v>265</v>
      </c>
      <c r="B102" s="121" t="s">
        <v>266</v>
      </c>
      <c r="C102" s="64">
        <f t="shared" si="11"/>
        <v>28</v>
      </c>
      <c r="D102" s="65"/>
      <c r="E102" s="114">
        <v>28</v>
      </c>
      <c r="F102" s="65"/>
    </row>
    <row r="103" spans="1:6" ht="15" customHeight="1" x14ac:dyDescent="0.2">
      <c r="A103" s="57" t="s">
        <v>267</v>
      </c>
      <c r="B103" s="121" t="s">
        <v>268</v>
      </c>
      <c r="C103" s="64">
        <f t="shared" si="11"/>
        <v>3</v>
      </c>
      <c r="D103" s="65"/>
      <c r="E103" s="114">
        <v>3</v>
      </c>
      <c r="F103" s="65"/>
    </row>
    <row r="104" spans="1:6" ht="15" customHeight="1" x14ac:dyDescent="0.2">
      <c r="A104" s="57" t="s">
        <v>269</v>
      </c>
      <c r="B104" s="121" t="s">
        <v>270</v>
      </c>
      <c r="C104" s="64">
        <f t="shared" si="11"/>
        <v>167</v>
      </c>
      <c r="D104" s="65"/>
      <c r="E104" s="114">
        <v>167</v>
      </c>
      <c r="F104" s="65"/>
    </row>
    <row r="105" spans="1:6" ht="15" customHeight="1" x14ac:dyDescent="0.2">
      <c r="A105" s="57" t="s">
        <v>271</v>
      </c>
      <c r="B105" s="121" t="s">
        <v>272</v>
      </c>
      <c r="C105" s="64">
        <f t="shared" si="11"/>
        <v>5</v>
      </c>
      <c r="D105" s="65"/>
      <c r="E105" s="114">
        <v>5</v>
      </c>
      <c r="F105" s="65"/>
    </row>
    <row r="106" spans="1:6" ht="15" customHeight="1" x14ac:dyDescent="0.2">
      <c r="A106" s="57" t="s">
        <v>273</v>
      </c>
      <c r="B106" s="121" t="s">
        <v>274</v>
      </c>
      <c r="C106" s="64">
        <f t="shared" si="11"/>
        <v>217</v>
      </c>
      <c r="D106" s="65"/>
      <c r="E106" s="114">
        <v>217</v>
      </c>
      <c r="F106" s="65"/>
    </row>
    <row r="107" spans="1:6" ht="15" customHeight="1" x14ac:dyDescent="0.2">
      <c r="A107" s="57" t="s">
        <v>275</v>
      </c>
      <c r="B107" s="121" t="s">
        <v>276</v>
      </c>
      <c r="C107" s="64">
        <f t="shared" ref="C107:C111" si="12">SUM(D107:E107)</f>
        <v>0</v>
      </c>
      <c r="D107" s="65"/>
      <c r="E107" s="114"/>
      <c r="F107" s="65"/>
    </row>
    <row r="108" spans="1:6" ht="15" customHeight="1" x14ac:dyDescent="0.2">
      <c r="A108" s="57" t="s">
        <v>277</v>
      </c>
      <c r="B108" s="121" t="s">
        <v>278</v>
      </c>
      <c r="C108" s="64">
        <f t="shared" si="12"/>
        <v>0</v>
      </c>
      <c r="D108" s="65"/>
      <c r="E108" s="114"/>
      <c r="F108" s="65"/>
    </row>
    <row r="109" spans="1:6" ht="15" customHeight="1" x14ac:dyDescent="0.2">
      <c r="A109" s="57" t="s">
        <v>279</v>
      </c>
      <c r="B109" s="121" t="s">
        <v>280</v>
      </c>
      <c r="C109" s="64">
        <f t="shared" si="12"/>
        <v>0</v>
      </c>
      <c r="D109" s="65"/>
      <c r="E109" s="114"/>
      <c r="F109" s="65"/>
    </row>
    <row r="110" spans="1:6" ht="15" customHeight="1" x14ac:dyDescent="0.2">
      <c r="A110" s="57" t="s">
        <v>281</v>
      </c>
      <c r="B110" s="121" t="s">
        <v>282</v>
      </c>
      <c r="C110" s="64">
        <f t="shared" si="12"/>
        <v>0</v>
      </c>
      <c r="D110" s="65"/>
      <c r="E110" s="114"/>
      <c r="F110" s="65"/>
    </row>
    <row r="111" spans="1:6" ht="15" customHeight="1" x14ac:dyDescent="0.2">
      <c r="A111" s="194" t="s">
        <v>283</v>
      </c>
      <c r="B111" s="192" t="s">
        <v>284</v>
      </c>
      <c r="C111" s="189">
        <f t="shared" si="12"/>
        <v>0</v>
      </c>
      <c r="D111" s="190"/>
      <c r="E111" s="191"/>
      <c r="F111" s="190"/>
    </row>
    <row r="112" spans="1:6" s="141" customFormat="1" ht="20.100000000000001" customHeight="1" x14ac:dyDescent="0.2">
      <c r="A112" s="142"/>
      <c r="B112" s="138"/>
      <c r="C112" s="139"/>
      <c r="D112" s="140"/>
      <c r="E112" s="140"/>
      <c r="F112" s="140"/>
    </row>
    <row r="113" spans="1:5" ht="15" customHeight="1" x14ac:dyDescent="0.2">
      <c r="A113" s="319" t="s">
        <v>285</v>
      </c>
      <c r="B113" s="320"/>
      <c r="C113" s="320"/>
      <c r="D113" s="320"/>
      <c r="E113" s="327"/>
    </row>
    <row r="114" spans="1:5" ht="14.1" customHeight="1" x14ac:dyDescent="0.2">
      <c r="A114" s="323" t="s">
        <v>1</v>
      </c>
      <c r="B114" s="328" t="s">
        <v>100</v>
      </c>
      <c r="C114" s="323" t="s">
        <v>70</v>
      </c>
      <c r="D114" s="323" t="s">
        <v>68</v>
      </c>
      <c r="E114" s="323" t="s">
        <v>69</v>
      </c>
    </row>
    <row r="115" spans="1:5" s="141" customFormat="1" ht="15" customHeight="1" x14ac:dyDescent="0.2">
      <c r="A115" s="324"/>
      <c r="B115" s="329"/>
      <c r="C115" s="324"/>
      <c r="D115" s="324"/>
      <c r="E115" s="324"/>
    </row>
    <row r="116" spans="1:5" ht="15" customHeight="1" x14ac:dyDescent="0.2">
      <c r="A116" s="319" t="s">
        <v>286</v>
      </c>
      <c r="B116" s="320"/>
      <c r="C116" s="126"/>
      <c r="D116" s="126"/>
      <c r="E116" s="126"/>
    </row>
    <row r="117" spans="1:5" ht="15" customHeight="1" x14ac:dyDescent="0.2">
      <c r="A117" s="59">
        <v>1301025</v>
      </c>
      <c r="B117" s="128" t="s">
        <v>287</v>
      </c>
      <c r="C117" s="70">
        <f>SUM(D117:E117)</f>
        <v>0</v>
      </c>
      <c r="D117" s="68"/>
      <c r="E117" s="68"/>
    </row>
    <row r="118" spans="1:5" ht="15" customHeight="1" x14ac:dyDescent="0.2">
      <c r="A118" s="60">
        <v>1301026</v>
      </c>
      <c r="B118" s="121" t="s">
        <v>288</v>
      </c>
      <c r="C118" s="71">
        <f t="shared" ref="C118:C120" si="13">SUM(D118:E118)</f>
        <v>0</v>
      </c>
      <c r="D118" s="69"/>
      <c r="E118" s="69"/>
    </row>
    <row r="119" spans="1:5" ht="15" customHeight="1" x14ac:dyDescent="0.2">
      <c r="A119" s="60">
        <v>1301029</v>
      </c>
      <c r="B119" s="121" t="s">
        <v>289</v>
      </c>
      <c r="C119" s="71">
        <f t="shared" si="13"/>
        <v>0</v>
      </c>
      <c r="D119" s="69"/>
      <c r="E119" s="69"/>
    </row>
    <row r="120" spans="1:5" ht="15" customHeight="1" x14ac:dyDescent="0.2">
      <c r="A120" s="60">
        <v>1301030</v>
      </c>
      <c r="B120" s="121" t="s">
        <v>290</v>
      </c>
      <c r="C120" s="71">
        <f t="shared" si="13"/>
        <v>0</v>
      </c>
      <c r="D120" s="69"/>
      <c r="E120" s="69"/>
    </row>
    <row r="121" spans="1:5" ht="15" customHeight="1" x14ac:dyDescent="0.2">
      <c r="A121" s="317" t="s">
        <v>67</v>
      </c>
      <c r="B121" s="318"/>
      <c r="C121" s="72">
        <f>SUM(C117:C120)</f>
        <v>0</v>
      </c>
      <c r="D121" s="160">
        <f>SUM(D117:D120)</f>
        <v>0</v>
      </c>
      <c r="E121" s="160">
        <f>SUM(E117:E120)</f>
        <v>0</v>
      </c>
    </row>
    <row r="122" spans="1:5" ht="15" customHeight="1" x14ac:dyDescent="0.2">
      <c r="A122" s="130"/>
      <c r="B122" s="130"/>
      <c r="C122" s="200"/>
      <c r="D122" s="200"/>
      <c r="E122" s="200"/>
    </row>
    <row r="123" spans="1:5" ht="15" customHeight="1" x14ac:dyDescent="0.2">
      <c r="A123" s="319" t="s">
        <v>291</v>
      </c>
      <c r="B123" s="320"/>
      <c r="C123" s="203"/>
      <c r="D123" s="203"/>
      <c r="E123" s="204"/>
    </row>
    <row r="124" spans="1:5" ht="15" customHeight="1" x14ac:dyDescent="0.2">
      <c r="A124" s="59">
        <v>1601110</v>
      </c>
      <c r="B124" s="128" t="s">
        <v>292</v>
      </c>
      <c r="C124" s="244">
        <f t="shared" ref="C124:C132" si="14">SUM(D124:E124)</f>
        <v>0</v>
      </c>
      <c r="D124" s="245"/>
      <c r="E124" s="245"/>
    </row>
    <row r="125" spans="1:5" ht="23.25" customHeight="1" x14ac:dyDescent="0.2">
      <c r="A125" s="210">
        <v>1602203</v>
      </c>
      <c r="B125" s="211" t="s">
        <v>293</v>
      </c>
      <c r="C125" s="219">
        <f t="shared" si="14"/>
        <v>0</v>
      </c>
      <c r="D125" s="220"/>
      <c r="E125" s="220"/>
    </row>
    <row r="126" spans="1:5" ht="18" customHeight="1" x14ac:dyDescent="0.2">
      <c r="A126" s="60">
        <v>1602206</v>
      </c>
      <c r="B126" s="121" t="s">
        <v>294</v>
      </c>
      <c r="C126" s="195">
        <f t="shared" si="14"/>
        <v>0</v>
      </c>
      <c r="D126" s="196"/>
      <c r="E126" s="196"/>
    </row>
    <row r="127" spans="1:5" ht="18" customHeight="1" x14ac:dyDescent="0.2">
      <c r="A127" s="60">
        <v>1602221</v>
      </c>
      <c r="B127" s="121" t="s">
        <v>295</v>
      </c>
      <c r="C127" s="195">
        <f t="shared" si="14"/>
        <v>1</v>
      </c>
      <c r="D127" s="196"/>
      <c r="E127" s="196">
        <v>1</v>
      </c>
    </row>
    <row r="128" spans="1:5" ht="18" customHeight="1" x14ac:dyDescent="0.2">
      <c r="A128" s="60">
        <v>1602222</v>
      </c>
      <c r="B128" s="121" t="s">
        <v>296</v>
      </c>
      <c r="C128" s="195">
        <f t="shared" si="14"/>
        <v>0</v>
      </c>
      <c r="D128" s="196"/>
      <c r="E128" s="196"/>
    </row>
    <row r="129" spans="1:5" ht="22.5" customHeight="1" x14ac:dyDescent="0.2">
      <c r="A129" s="60">
        <v>1602223</v>
      </c>
      <c r="B129" s="121" t="s">
        <v>297</v>
      </c>
      <c r="C129" s="195">
        <f t="shared" si="14"/>
        <v>0</v>
      </c>
      <c r="D129" s="196"/>
      <c r="E129" s="196"/>
    </row>
    <row r="130" spans="1:5" ht="24" customHeight="1" x14ac:dyDescent="0.2">
      <c r="A130" s="60">
        <v>1602224</v>
      </c>
      <c r="B130" s="121" t="s">
        <v>298</v>
      </c>
      <c r="C130" s="195">
        <f t="shared" si="14"/>
        <v>0</v>
      </c>
      <c r="D130" s="196"/>
      <c r="E130" s="196"/>
    </row>
    <row r="131" spans="1:5" ht="21.75" customHeight="1" x14ac:dyDescent="0.2">
      <c r="A131" s="60">
        <v>1602225</v>
      </c>
      <c r="B131" s="121" t="s">
        <v>299</v>
      </c>
      <c r="C131" s="195">
        <f t="shared" si="14"/>
        <v>0</v>
      </c>
      <c r="D131" s="196"/>
      <c r="E131" s="196"/>
    </row>
    <row r="132" spans="1:5" ht="15" customHeight="1" x14ac:dyDescent="0.2">
      <c r="A132" s="60">
        <v>1602231</v>
      </c>
      <c r="B132" s="121" t="s">
        <v>300</v>
      </c>
      <c r="C132" s="195">
        <f t="shared" si="14"/>
        <v>0</v>
      </c>
      <c r="D132" s="196"/>
      <c r="E132" s="196"/>
    </row>
    <row r="133" spans="1:5" ht="15" customHeight="1" x14ac:dyDescent="0.2">
      <c r="A133" s="317" t="s">
        <v>67</v>
      </c>
      <c r="B133" s="318"/>
      <c r="C133" s="72">
        <f>SUM(C124:C132)</f>
        <v>1</v>
      </c>
      <c r="D133" s="72">
        <f t="shared" ref="D133:E133" si="15">SUM(D124:D132)</f>
        <v>0</v>
      </c>
      <c r="E133" s="72">
        <f t="shared" si="15"/>
        <v>1</v>
      </c>
    </row>
    <row r="134" spans="1:5" ht="15" customHeight="1" x14ac:dyDescent="0.2">
      <c r="A134" s="130"/>
      <c r="B134" s="130"/>
      <c r="C134" s="132"/>
      <c r="D134" s="135"/>
      <c r="E134" s="135"/>
    </row>
    <row r="135" spans="1:5" ht="15" customHeight="1" x14ac:dyDescent="0.2">
      <c r="A135" s="319" t="s">
        <v>301</v>
      </c>
      <c r="B135" s="320"/>
      <c r="C135" s="126"/>
      <c r="D135" s="126"/>
      <c r="E135" s="201"/>
    </row>
    <row r="136" spans="1:5" ht="15" customHeight="1" x14ac:dyDescent="0.2">
      <c r="A136" s="59" t="s">
        <v>302</v>
      </c>
      <c r="B136" s="128" t="s">
        <v>303</v>
      </c>
      <c r="C136" s="70">
        <f>SUM(D136:E136)</f>
        <v>273</v>
      </c>
      <c r="D136" s="207"/>
      <c r="E136" s="68">
        <v>273</v>
      </c>
    </row>
    <row r="137" spans="1:5" ht="15" customHeight="1" x14ac:dyDescent="0.2">
      <c r="A137" s="60" t="s">
        <v>304</v>
      </c>
      <c r="B137" s="121" t="s">
        <v>305</v>
      </c>
      <c r="C137" s="197">
        <f>SUM(D137:E137)</f>
        <v>0</v>
      </c>
      <c r="D137" s="208"/>
      <c r="E137" s="205"/>
    </row>
    <row r="138" spans="1:5" ht="15" customHeight="1" x14ac:dyDescent="0.2">
      <c r="A138" s="60"/>
      <c r="B138" s="129" t="s">
        <v>306</v>
      </c>
      <c r="C138" s="73">
        <f>SUM(D138:E138)</f>
        <v>0</v>
      </c>
      <c r="D138" s="209"/>
      <c r="E138" s="206"/>
    </row>
    <row r="139" spans="1:5" ht="15" customHeight="1" x14ac:dyDescent="0.2">
      <c r="A139" s="60"/>
      <c r="B139" s="121" t="s">
        <v>307</v>
      </c>
      <c r="C139" s="73">
        <f>SUM(D139:E139)</f>
        <v>0</v>
      </c>
      <c r="D139" s="250"/>
      <c r="E139" s="196"/>
    </row>
    <row r="140" spans="1:5" ht="15" customHeight="1" x14ac:dyDescent="0.2">
      <c r="A140" s="60"/>
      <c r="B140" s="121" t="s">
        <v>308</v>
      </c>
      <c r="C140" s="198">
        <f>SUM(D140:E140)</f>
        <v>0</v>
      </c>
      <c r="D140" s="250"/>
      <c r="E140" s="251"/>
    </row>
    <row r="141" spans="1:5" ht="15" customHeight="1" x14ac:dyDescent="0.2">
      <c r="A141" s="317" t="s">
        <v>67</v>
      </c>
      <c r="B141" s="318"/>
      <c r="C141" s="166">
        <f>SUM(C136:C140)</f>
        <v>273</v>
      </c>
      <c r="D141" s="166">
        <f t="shared" ref="D141" si="16">SUM(D136:D140)</f>
        <v>0</v>
      </c>
      <c r="E141" s="166">
        <f>SUM(E136:E140)</f>
        <v>273</v>
      </c>
    </row>
    <row r="142" spans="1:5" ht="15" customHeight="1" x14ac:dyDescent="0.2">
      <c r="A142" s="130"/>
      <c r="B142" s="163"/>
      <c r="C142" s="164"/>
      <c r="D142" s="165"/>
      <c r="E142" s="165"/>
    </row>
    <row r="143" spans="1:5" ht="15" customHeight="1" x14ac:dyDescent="0.2">
      <c r="A143" s="325" t="s">
        <v>309</v>
      </c>
      <c r="B143" s="326"/>
      <c r="C143" s="202"/>
      <c r="D143" s="202"/>
      <c r="E143" s="233"/>
    </row>
    <row r="144" spans="1:5" ht="15" customHeight="1" x14ac:dyDescent="0.2">
      <c r="A144" s="210">
        <v>1707001</v>
      </c>
      <c r="B144" s="211" t="s">
        <v>310</v>
      </c>
      <c r="C144" s="212">
        <f>SUM(D144:E144)</f>
        <v>73</v>
      </c>
      <c r="D144" s="234"/>
      <c r="E144" s="213">
        <v>73</v>
      </c>
    </row>
    <row r="145" spans="1:5" ht="15" customHeight="1" x14ac:dyDescent="0.2">
      <c r="A145" s="60">
        <v>1707002</v>
      </c>
      <c r="B145" s="121" t="s">
        <v>311</v>
      </c>
      <c r="C145" s="75">
        <f t="shared" ref="C145:C147" si="17">SUM(D145:E145)</f>
        <v>61</v>
      </c>
      <c r="D145" s="232"/>
      <c r="E145" s="65">
        <v>61</v>
      </c>
    </row>
    <row r="146" spans="1:5" ht="15" customHeight="1" x14ac:dyDescent="0.2">
      <c r="A146" s="60">
        <v>1707004</v>
      </c>
      <c r="B146" s="121" t="s">
        <v>312</v>
      </c>
      <c r="C146" s="75">
        <f t="shared" si="17"/>
        <v>0</v>
      </c>
      <c r="D146" s="232"/>
      <c r="E146" s="65"/>
    </row>
    <row r="147" spans="1:5" ht="15" customHeight="1" x14ac:dyDescent="0.2">
      <c r="A147" s="61">
        <v>1707030</v>
      </c>
      <c r="B147" s="129" t="s">
        <v>313</v>
      </c>
      <c r="C147" s="131">
        <f t="shared" si="17"/>
        <v>61</v>
      </c>
      <c r="D147" s="235"/>
      <c r="E147" s="67">
        <v>61</v>
      </c>
    </row>
    <row r="148" spans="1:5" ht="15" customHeight="1" x14ac:dyDescent="0.2">
      <c r="A148" s="62" t="s">
        <v>314</v>
      </c>
      <c r="B148" s="121" t="s">
        <v>315</v>
      </c>
      <c r="C148" s="195">
        <f>SUM(D148:E148)</f>
        <v>0</v>
      </c>
      <c r="D148" s="225"/>
      <c r="E148" s="196"/>
    </row>
    <row r="149" spans="1:5" ht="15" customHeight="1" x14ac:dyDescent="0.2">
      <c r="A149" s="62" t="s">
        <v>316</v>
      </c>
      <c r="B149" s="121" t="s">
        <v>317</v>
      </c>
      <c r="C149" s="195">
        <f>SUM(D149:E149)</f>
        <v>5</v>
      </c>
      <c r="D149" s="225"/>
      <c r="E149" s="196">
        <v>5</v>
      </c>
    </row>
    <row r="150" spans="1:5" ht="15" customHeight="1" x14ac:dyDescent="0.2">
      <c r="A150" s="62" t="s">
        <v>318</v>
      </c>
      <c r="B150" s="121" t="s">
        <v>319</v>
      </c>
      <c r="C150" s="195">
        <f>SUM(D150:E150)</f>
        <v>1</v>
      </c>
      <c r="D150" s="225"/>
      <c r="E150" s="196">
        <v>1</v>
      </c>
    </row>
    <row r="151" spans="1:5" ht="15" customHeight="1" x14ac:dyDescent="0.2">
      <c r="A151" s="317" t="s">
        <v>67</v>
      </c>
      <c r="B151" s="318"/>
      <c r="C151" s="72">
        <f>SUM(C144:C150)</f>
        <v>201</v>
      </c>
      <c r="D151" s="227">
        <f t="shared" ref="D151:E151" si="18">SUM(D144:D150)</f>
        <v>0</v>
      </c>
      <c r="E151" s="72">
        <f t="shared" si="18"/>
        <v>201</v>
      </c>
    </row>
    <row r="152" spans="1:5" ht="15" customHeight="1" x14ac:dyDescent="0.2">
      <c r="A152" s="130"/>
      <c r="B152" s="130"/>
      <c r="C152" s="132"/>
      <c r="D152" s="135"/>
      <c r="E152" s="135"/>
    </row>
    <row r="153" spans="1:5" ht="15" customHeight="1" x14ac:dyDescent="0.2">
      <c r="A153" s="319" t="s">
        <v>320</v>
      </c>
      <c r="B153" s="320"/>
      <c r="C153" s="202"/>
      <c r="D153" s="202"/>
      <c r="E153" s="233"/>
    </row>
    <row r="154" spans="1:5" ht="15" customHeight="1" x14ac:dyDescent="0.2">
      <c r="A154" s="61"/>
      <c r="B154" s="121" t="s">
        <v>321</v>
      </c>
      <c r="C154" s="195">
        <f>SUM(D154:E154)</f>
        <v>0</v>
      </c>
      <c r="D154" s="225"/>
      <c r="E154" s="196"/>
    </row>
    <row r="155" spans="1:5" ht="15" customHeight="1" x14ac:dyDescent="0.2">
      <c r="A155" s="62" t="s">
        <v>322</v>
      </c>
      <c r="B155" s="121" t="s">
        <v>323</v>
      </c>
      <c r="C155" s="195">
        <f>SUM(D155:E155)</f>
        <v>0</v>
      </c>
      <c r="D155" s="225"/>
      <c r="E155" s="196"/>
    </row>
    <row r="156" spans="1:5" ht="15" customHeight="1" x14ac:dyDescent="0.2">
      <c r="A156" s="61">
        <v>1801042</v>
      </c>
      <c r="B156" s="121" t="s">
        <v>324</v>
      </c>
      <c r="C156" s="75">
        <f>SUM(D156:E156)</f>
        <v>0</v>
      </c>
      <c r="D156" s="232"/>
      <c r="E156" s="65"/>
    </row>
    <row r="157" spans="1:5" ht="15" customHeight="1" x14ac:dyDescent="0.2">
      <c r="A157" s="317" t="s">
        <v>67</v>
      </c>
      <c r="B157" s="318"/>
      <c r="C157" s="72">
        <f>SUM(C154:C156)</f>
        <v>0</v>
      </c>
      <c r="D157" s="168">
        <f>SUM(D154:D156)</f>
        <v>0</v>
      </c>
      <c r="E157" s="160">
        <f>SUM(E154:E156)</f>
        <v>0</v>
      </c>
    </row>
    <row r="158" spans="1:5" ht="15" customHeight="1" x14ac:dyDescent="0.2">
      <c r="A158" s="130"/>
      <c r="B158" s="130"/>
      <c r="C158" s="132"/>
      <c r="D158" s="135"/>
      <c r="E158" s="135"/>
    </row>
    <row r="159" spans="1:5" ht="15" customHeight="1" x14ac:dyDescent="0.2">
      <c r="A159" s="319" t="s">
        <v>325</v>
      </c>
      <c r="B159" s="320"/>
      <c r="C159" s="202"/>
      <c r="D159" s="202"/>
      <c r="E159" s="202"/>
    </row>
    <row r="160" spans="1:5" ht="15" customHeight="1" x14ac:dyDescent="0.2">
      <c r="A160" s="61"/>
      <c r="B160" s="121" t="s">
        <v>326</v>
      </c>
      <c r="C160" s="214">
        <f>SUM(D160:E160)</f>
        <v>1</v>
      </c>
      <c r="D160" s="225"/>
      <c r="E160" s="230">
        <v>1</v>
      </c>
    </row>
    <row r="161" spans="1:5" ht="15" customHeight="1" x14ac:dyDescent="0.2">
      <c r="A161" s="61">
        <v>1901022</v>
      </c>
      <c r="B161" s="129" t="s">
        <v>327</v>
      </c>
      <c r="C161" s="214">
        <f>SUM(D161:E161)</f>
        <v>0</v>
      </c>
      <c r="D161" s="256"/>
      <c r="E161" s="257"/>
    </row>
    <row r="162" spans="1:5" ht="15" customHeight="1" x14ac:dyDescent="0.2">
      <c r="A162" s="317" t="s">
        <v>67</v>
      </c>
      <c r="B162" s="318"/>
      <c r="C162" s="159">
        <f>SUM(C160:C161)</f>
        <v>1</v>
      </c>
      <c r="D162" s="258">
        <f>SUM(D160:D161)</f>
        <v>0</v>
      </c>
      <c r="E162" s="259">
        <f>SUM(E160:E161)</f>
        <v>1</v>
      </c>
    </row>
    <row r="163" spans="1:5" ht="15" customHeight="1" x14ac:dyDescent="0.2">
      <c r="A163" s="130"/>
      <c r="B163" s="130"/>
      <c r="C163" s="157"/>
      <c r="D163" s="158"/>
      <c r="E163" s="231"/>
    </row>
    <row r="164" spans="1:5" ht="24.95" customHeight="1" x14ac:dyDescent="0.2">
      <c r="A164" s="319" t="s">
        <v>328</v>
      </c>
      <c r="B164" s="320"/>
      <c r="C164" s="202"/>
      <c r="D164" s="202"/>
      <c r="E164" s="202"/>
    </row>
    <row r="165" spans="1:5" ht="15" customHeight="1" x14ac:dyDescent="0.2">
      <c r="A165" s="60"/>
      <c r="B165" s="128" t="s">
        <v>329</v>
      </c>
      <c r="C165" s="195">
        <f>SUM(D165:E165)</f>
        <v>18</v>
      </c>
      <c r="D165" s="260"/>
      <c r="E165" s="63">
        <v>18</v>
      </c>
    </row>
    <row r="166" spans="1:5" ht="15" customHeight="1" x14ac:dyDescent="0.2">
      <c r="A166" s="60"/>
      <c r="B166" s="121" t="s">
        <v>330</v>
      </c>
      <c r="C166" s="195">
        <f>SUM(D166:E166)</f>
        <v>13</v>
      </c>
      <c r="D166" s="65"/>
      <c r="E166" s="65">
        <v>13</v>
      </c>
    </row>
    <row r="167" spans="1:5" ht="15" customHeight="1" x14ac:dyDescent="0.2">
      <c r="A167" s="60">
        <v>2001015</v>
      </c>
      <c r="B167" s="211" t="s">
        <v>331</v>
      </c>
      <c r="C167" s="75">
        <f>SUM(D167:E167)</f>
        <v>4</v>
      </c>
      <c r="D167" s="65"/>
      <c r="E167" s="65">
        <v>4</v>
      </c>
    </row>
    <row r="168" spans="1:5" ht="15" customHeight="1" x14ac:dyDescent="0.2">
      <c r="A168" s="60"/>
      <c r="B168" s="121" t="s">
        <v>332</v>
      </c>
      <c r="C168" s="75">
        <f t="shared" ref="C168:C169" si="19">SUM(D168:E168)</f>
        <v>70</v>
      </c>
      <c r="D168" s="65"/>
      <c r="E168" s="65">
        <v>70</v>
      </c>
    </row>
    <row r="169" spans="1:5" ht="15" customHeight="1" x14ac:dyDescent="0.2">
      <c r="A169" s="215"/>
      <c r="B169" s="211" t="s">
        <v>333</v>
      </c>
      <c r="C169" s="75">
        <f t="shared" si="19"/>
        <v>0</v>
      </c>
      <c r="D169" s="216"/>
      <c r="E169" s="216">
        <v>0</v>
      </c>
    </row>
    <row r="170" spans="1:5" ht="11.25" x14ac:dyDescent="0.2">
      <c r="A170" s="317" t="s">
        <v>67</v>
      </c>
      <c r="B170" s="318"/>
      <c r="C170" s="159">
        <f>SUM(C165:C169)</f>
        <v>105</v>
      </c>
      <c r="D170" s="159">
        <f t="shared" ref="D170:E170" si="20">SUM(D165:D169)</f>
        <v>0</v>
      </c>
      <c r="E170" s="159">
        <f t="shared" si="20"/>
        <v>105</v>
      </c>
    </row>
    <row r="171" spans="1:5" ht="15" customHeight="1" x14ac:dyDescent="0.2">
      <c r="A171" s="143"/>
      <c r="B171" s="144"/>
      <c r="C171" s="146"/>
      <c r="D171" s="147"/>
      <c r="E171" s="255"/>
    </row>
    <row r="172" spans="1:5" ht="15" customHeight="1" x14ac:dyDescent="0.2">
      <c r="A172" s="319" t="s">
        <v>334</v>
      </c>
      <c r="B172" s="320"/>
      <c r="C172" s="199"/>
      <c r="D172" s="199"/>
      <c r="E172" s="229"/>
    </row>
    <row r="173" spans="1:5" ht="15" customHeight="1" x14ac:dyDescent="0.2">
      <c r="A173" s="59">
        <v>2101001</v>
      </c>
      <c r="B173" s="128" t="s">
        <v>335</v>
      </c>
      <c r="C173" s="74">
        <f>SUM(D173:E173)</f>
        <v>0</v>
      </c>
      <c r="D173" s="63"/>
      <c r="E173" s="247"/>
    </row>
    <row r="174" spans="1:5" ht="15" customHeight="1" x14ac:dyDescent="0.2">
      <c r="A174" s="60">
        <v>2105004</v>
      </c>
      <c r="B174" s="121" t="s">
        <v>336</v>
      </c>
      <c r="C174" s="75">
        <f t="shared" ref="C174:C178" si="21">SUM(D174:E174)</f>
        <v>0</v>
      </c>
      <c r="D174" s="65"/>
      <c r="E174" s="248"/>
    </row>
    <row r="175" spans="1:5" ht="15" customHeight="1" x14ac:dyDescent="0.2">
      <c r="A175" s="60">
        <v>2105005</v>
      </c>
      <c r="B175" s="121" t="s">
        <v>337</v>
      </c>
      <c r="C175" s="75">
        <f t="shared" si="21"/>
        <v>0</v>
      </c>
      <c r="D175" s="65"/>
      <c r="E175" s="248"/>
    </row>
    <row r="176" spans="1:5" ht="15" customHeight="1" x14ac:dyDescent="0.2">
      <c r="A176" s="60">
        <v>2105006</v>
      </c>
      <c r="B176" s="121" t="s">
        <v>338</v>
      </c>
      <c r="C176" s="75">
        <f t="shared" si="21"/>
        <v>0</v>
      </c>
      <c r="D176" s="65"/>
      <c r="E176" s="248"/>
    </row>
    <row r="177" spans="1:5" ht="15" customHeight="1" x14ac:dyDescent="0.2">
      <c r="A177" s="60">
        <v>2105007</v>
      </c>
      <c r="B177" s="121" t="s">
        <v>339</v>
      </c>
      <c r="C177" s="75">
        <f t="shared" si="21"/>
        <v>0</v>
      </c>
      <c r="D177" s="65"/>
      <c r="E177" s="248"/>
    </row>
    <row r="178" spans="1:5" ht="15" customHeight="1" x14ac:dyDescent="0.2">
      <c r="A178" s="61">
        <v>2107003</v>
      </c>
      <c r="B178" s="129" t="s">
        <v>340</v>
      </c>
      <c r="C178" s="131">
        <f t="shared" si="21"/>
        <v>0</v>
      </c>
      <c r="D178" s="67"/>
      <c r="E178" s="249"/>
    </row>
    <row r="179" spans="1:5" ht="11.25" x14ac:dyDescent="0.2">
      <c r="A179" s="317" t="s">
        <v>67</v>
      </c>
      <c r="B179" s="318"/>
      <c r="C179" s="72">
        <f>SUM(C173:C178)</f>
        <v>0</v>
      </c>
      <c r="D179" s="72">
        <f>SUM(D173:D178)</f>
        <v>0</v>
      </c>
      <c r="E179" s="72"/>
    </row>
    <row r="180" spans="1:5" ht="15" customHeight="1" x14ac:dyDescent="0.2">
      <c r="A180" s="130"/>
      <c r="B180" s="130"/>
      <c r="C180" s="132"/>
      <c r="D180" s="132"/>
      <c r="E180" s="132"/>
    </row>
    <row r="181" spans="1:5" ht="15" customHeight="1" x14ac:dyDescent="0.2">
      <c r="A181" s="319" t="s">
        <v>110</v>
      </c>
      <c r="B181" s="320"/>
      <c r="C181" s="126"/>
      <c r="D181" s="126"/>
      <c r="E181" s="228"/>
    </row>
    <row r="182" spans="1:5" ht="15" customHeight="1" x14ac:dyDescent="0.2">
      <c r="A182" s="62"/>
      <c r="B182" s="128" t="s">
        <v>341</v>
      </c>
      <c r="C182" s="195">
        <f t="shared" ref="C182:C187" si="22">SUM(D182:E182)</f>
        <v>0</v>
      </c>
      <c r="D182" s="252"/>
      <c r="E182" s="196">
        <v>0</v>
      </c>
    </row>
    <row r="183" spans="1:5" ht="15" customHeight="1" x14ac:dyDescent="0.2">
      <c r="A183" s="217"/>
      <c r="B183" s="121" t="s">
        <v>342</v>
      </c>
      <c r="C183" s="195">
        <f t="shared" si="22"/>
        <v>0</v>
      </c>
      <c r="D183" s="253"/>
      <c r="E183" s="196">
        <v>0</v>
      </c>
    </row>
    <row r="184" spans="1:5" ht="15" customHeight="1" x14ac:dyDescent="0.2">
      <c r="A184" s="60" t="s">
        <v>343</v>
      </c>
      <c r="B184" s="121" t="s">
        <v>344</v>
      </c>
      <c r="C184" s="195">
        <f t="shared" si="22"/>
        <v>613</v>
      </c>
      <c r="D184" s="225"/>
      <c r="E184" s="196">
        <v>613</v>
      </c>
    </row>
    <row r="185" spans="1:5" ht="15" customHeight="1" x14ac:dyDescent="0.2">
      <c r="A185" s="62"/>
      <c r="B185" s="129" t="s">
        <v>345</v>
      </c>
      <c r="C185" s="195">
        <f t="shared" si="22"/>
        <v>112</v>
      </c>
      <c r="D185" s="225"/>
      <c r="E185" s="196">
        <v>112</v>
      </c>
    </row>
    <row r="186" spans="1:5" ht="15" customHeight="1" x14ac:dyDescent="0.2">
      <c r="A186" s="62"/>
      <c r="B186" s="129" t="s">
        <v>346</v>
      </c>
      <c r="C186" s="195">
        <f t="shared" si="22"/>
        <v>12</v>
      </c>
      <c r="D186" s="225"/>
      <c r="E186" s="196">
        <v>12</v>
      </c>
    </row>
    <row r="187" spans="1:5" ht="15" customHeight="1" x14ac:dyDescent="0.2">
      <c r="A187" s="218"/>
      <c r="B187" s="129" t="s">
        <v>347</v>
      </c>
      <c r="C187" s="214">
        <f t="shared" si="22"/>
        <v>165</v>
      </c>
      <c r="D187" s="253"/>
      <c r="E187" s="254">
        <v>165</v>
      </c>
    </row>
    <row r="188" spans="1:5" ht="15" customHeight="1" x14ac:dyDescent="0.2">
      <c r="A188" s="62"/>
      <c r="B188" s="129" t="s">
        <v>348</v>
      </c>
      <c r="C188" s="195">
        <f t="shared" ref="C188:C198" si="23">SUM(D188:E188)</f>
        <v>217</v>
      </c>
      <c r="D188" s="225"/>
      <c r="E188" s="196">
        <v>217</v>
      </c>
    </row>
    <row r="189" spans="1:5" ht="15" customHeight="1" x14ac:dyDescent="0.2">
      <c r="A189" s="62" t="s">
        <v>349</v>
      </c>
      <c r="B189" s="121" t="s">
        <v>350</v>
      </c>
      <c r="C189" s="195">
        <f t="shared" si="23"/>
        <v>0</v>
      </c>
      <c r="D189" s="225"/>
      <c r="E189" s="196">
        <v>0</v>
      </c>
    </row>
    <row r="190" spans="1:5" ht="15" customHeight="1" x14ac:dyDescent="0.2">
      <c r="A190" s="62" t="s">
        <v>351</v>
      </c>
      <c r="B190" s="121" t="s">
        <v>352</v>
      </c>
      <c r="C190" s="195">
        <f t="shared" si="23"/>
        <v>0</v>
      </c>
      <c r="D190" s="225"/>
      <c r="E190" s="196">
        <v>0</v>
      </c>
    </row>
    <row r="191" spans="1:5" ht="15" customHeight="1" x14ac:dyDescent="0.2">
      <c r="A191" s="62" t="s">
        <v>353</v>
      </c>
      <c r="B191" s="121" t="s">
        <v>354</v>
      </c>
      <c r="C191" s="195">
        <f t="shared" si="23"/>
        <v>0</v>
      </c>
      <c r="D191" s="225"/>
      <c r="E191" s="196">
        <v>0</v>
      </c>
    </row>
    <row r="192" spans="1:5" ht="15" customHeight="1" x14ac:dyDescent="0.2">
      <c r="A192" s="62" t="s">
        <v>355</v>
      </c>
      <c r="B192" s="121" t="s">
        <v>356</v>
      </c>
      <c r="C192" s="195">
        <f t="shared" si="23"/>
        <v>0</v>
      </c>
      <c r="D192" s="225"/>
      <c r="E192" s="196">
        <v>0</v>
      </c>
    </row>
    <row r="193" spans="1:5" ht="15" customHeight="1" x14ac:dyDescent="0.2">
      <c r="A193" s="62" t="s">
        <v>357</v>
      </c>
      <c r="B193" s="121" t="s">
        <v>358</v>
      </c>
      <c r="C193" s="195">
        <f t="shared" si="23"/>
        <v>0</v>
      </c>
      <c r="D193" s="225"/>
      <c r="E193" s="196">
        <v>0</v>
      </c>
    </row>
    <row r="194" spans="1:5" ht="15" customHeight="1" x14ac:dyDescent="0.2">
      <c r="A194" s="62" t="s">
        <v>359</v>
      </c>
      <c r="B194" s="121" t="s">
        <v>360</v>
      </c>
      <c r="C194" s="195">
        <f t="shared" si="23"/>
        <v>0</v>
      </c>
      <c r="D194" s="225"/>
      <c r="E194" s="196">
        <v>0</v>
      </c>
    </row>
    <row r="195" spans="1:5" ht="15" customHeight="1" x14ac:dyDescent="0.2">
      <c r="A195" s="62" t="s">
        <v>361</v>
      </c>
      <c r="B195" s="121" t="s">
        <v>362</v>
      </c>
      <c r="C195" s="195">
        <f t="shared" si="23"/>
        <v>774</v>
      </c>
      <c r="D195" s="225"/>
      <c r="E195" s="196">
        <v>774</v>
      </c>
    </row>
    <row r="196" spans="1:5" ht="15" customHeight="1" x14ac:dyDescent="0.2">
      <c r="A196" s="62" t="s">
        <v>363</v>
      </c>
      <c r="B196" s="121" t="s">
        <v>364</v>
      </c>
      <c r="C196" s="195">
        <f t="shared" si="23"/>
        <v>71</v>
      </c>
      <c r="D196" s="225"/>
      <c r="E196" s="196">
        <v>71</v>
      </c>
    </row>
    <row r="197" spans="1:5" ht="15" customHeight="1" x14ac:dyDescent="0.2">
      <c r="A197" s="62" t="s">
        <v>365</v>
      </c>
      <c r="B197" s="121" t="s">
        <v>366</v>
      </c>
      <c r="C197" s="195">
        <f t="shared" si="23"/>
        <v>1499</v>
      </c>
      <c r="D197" s="225"/>
      <c r="E197" s="196">
        <v>1499</v>
      </c>
    </row>
    <row r="198" spans="1:5" ht="15" customHeight="1" x14ac:dyDescent="0.2">
      <c r="A198" s="62" t="s">
        <v>367</v>
      </c>
      <c r="B198" s="192" t="s">
        <v>368</v>
      </c>
      <c r="C198" s="195">
        <f t="shared" si="23"/>
        <v>10</v>
      </c>
      <c r="D198" s="226"/>
      <c r="E198" s="196">
        <v>10</v>
      </c>
    </row>
    <row r="199" spans="1:5" ht="15" customHeight="1" x14ac:dyDescent="0.2">
      <c r="A199" s="317" t="s">
        <v>67</v>
      </c>
      <c r="B199" s="318"/>
      <c r="C199" s="72">
        <f>SUM(C182:C198)</f>
        <v>3473</v>
      </c>
      <c r="D199" s="227">
        <f t="shared" ref="D199:E199" si="24">SUM(D182:D198)</f>
        <v>0</v>
      </c>
      <c r="E199" s="72">
        <f t="shared" si="24"/>
        <v>3473</v>
      </c>
    </row>
    <row r="200" spans="1:5" ht="15" customHeight="1" x14ac:dyDescent="0.2">
      <c r="A200" s="130"/>
      <c r="B200" s="130"/>
      <c r="C200" s="132"/>
      <c r="D200" s="132"/>
      <c r="E200" s="132"/>
    </row>
  </sheetData>
  <sheetProtection algorithmName="SHA-512" hashValue="P2hix3XG/LjYzDDb/z2ACu8dq41gT9KBUH6HJpcXsmVbacdJbW8SNA4ppYgc/ntA2yIOzUdf7TSCDeFnFCLP/w==" saltValue="lTpxByOZSnCRW64AGsvc+A==" spinCount="100000" sheet="1" objects="1" scenarios="1"/>
  <mergeCells count="54">
    <mergeCell ref="A84:B84"/>
    <mergeCell ref="A66:B66"/>
    <mergeCell ref="A71:B71"/>
    <mergeCell ref="A81:B81"/>
    <mergeCell ref="A82:B82"/>
    <mergeCell ref="A68:B68"/>
    <mergeCell ref="A73:B73"/>
    <mergeCell ref="A46:B46"/>
    <mergeCell ref="C48:F48"/>
    <mergeCell ref="A51:B51"/>
    <mergeCell ref="C53:F53"/>
    <mergeCell ref="A48:B48"/>
    <mergeCell ref="A53:B53"/>
    <mergeCell ref="A6:C6"/>
    <mergeCell ref="A20:B20"/>
    <mergeCell ref="A42:B42"/>
    <mergeCell ref="A22:B22"/>
    <mergeCell ref="C22:F22"/>
    <mergeCell ref="F10:F11"/>
    <mergeCell ref="C10:C11"/>
    <mergeCell ref="C12:F12"/>
    <mergeCell ref="A12:B12"/>
    <mergeCell ref="A40:B40"/>
    <mergeCell ref="A10:A11"/>
    <mergeCell ref="B10:B11"/>
    <mergeCell ref="D10:D11"/>
    <mergeCell ref="E10:E11"/>
    <mergeCell ref="A7:F7"/>
    <mergeCell ref="C42:F42"/>
    <mergeCell ref="A141:B141"/>
    <mergeCell ref="A153:B153"/>
    <mergeCell ref="C84:F84"/>
    <mergeCell ref="D114:D115"/>
    <mergeCell ref="C114:C115"/>
    <mergeCell ref="A114:A115"/>
    <mergeCell ref="A151:B151"/>
    <mergeCell ref="A143:B143"/>
    <mergeCell ref="A113:E113"/>
    <mergeCell ref="B114:B115"/>
    <mergeCell ref="E114:E115"/>
    <mergeCell ref="A123:B123"/>
    <mergeCell ref="A121:B121"/>
    <mergeCell ref="A116:B116"/>
    <mergeCell ref="A135:B135"/>
    <mergeCell ref="A133:B133"/>
    <mergeCell ref="A199:B199"/>
    <mergeCell ref="A157:B157"/>
    <mergeCell ref="A159:B159"/>
    <mergeCell ref="A179:B179"/>
    <mergeCell ref="A181:B181"/>
    <mergeCell ref="A172:B172"/>
    <mergeCell ref="A164:B164"/>
    <mergeCell ref="A162:B162"/>
    <mergeCell ref="A170:B170"/>
  </mergeCells>
  <dataValidations count="8">
    <dataValidation allowBlank="1" showInputMessage="1" showErrorMessage="1" errorTitle="ERROR" error="Por Favor ingrese solo Números." sqref="D81:F83 F8:F11 D46:F47 D40:F41 D51:F52 B114:E114 D112:F112 D121:E122 D133:E134 D141:E142 D157:E158 D162:E163 B8:B10 A1:F6 D20:F21 D8:E12 D66:F68 D71:F73 A167:B169 B144:B150 A148:C150 B182:C198 A155:C155 B171 C116:C122 A116:A138 B117:B120 B124:C132 A201:XFD1048576 B136:B140 C199:E200 D116:E116 D151:E152 B154:B156 A141:A164 B160:B161 D170:E171 B165:C166 B173:B178 D179:E180 A170:A181 F113:XFD200 C133:C181 A184:A200 A7:A114 C8:C112 G1:XFD112 B12:B112" xr:uid="{00000000-0002-0000-0200-000000000000}"/>
    <dataValidation type="whole" allowBlank="1" showInputMessage="1" showErrorMessage="1" errorTitle="ERROR" error="Por Favor ingrese solo Números." sqref="D13:F19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17:E120 D54:F65 D69:F70 D43:F45 D23:F39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85:F111 D74:F80 D49:F50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73:E178" xr:uid="{9C3342F5-AA44-404D-A5AC-0970D397F15A}">
      <formula1>0</formula1>
    </dataValidation>
    <dataValidation type="whole" allowBlank="1" showInputMessage="1" showErrorMessage="1" sqref="D124:E132" xr:uid="{CB35AFEC-FB94-4CEF-B56F-535625769B0B}">
      <formula1>0</formula1>
      <formula2>10000000000</formula2>
    </dataValidation>
    <dataValidation type="whole" operator="greaterThanOrEqual" allowBlank="1" showInputMessage="1" showErrorMessage="1" sqref="D182:E198 D165:E169 D154:E156 D144:E150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73:D178 D160:E161 D136:E140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B1" sqref="B1"/>
    </sheetView>
  </sheetViews>
  <sheetFormatPr baseColWidth="10" defaultColWidth="11.42578125" defaultRowHeight="15" x14ac:dyDescent="0.2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 x14ac:dyDescent="0.25"/>
    <row r="2" spans="2:4" s="18" customFormat="1" ht="29.25" customHeight="1" x14ac:dyDescent="0.2">
      <c r="B2" s="15" t="s">
        <v>369</v>
      </c>
      <c r="C2" s="16" t="s">
        <v>370</v>
      </c>
      <c r="D2" s="17" t="s">
        <v>371</v>
      </c>
    </row>
    <row r="3" spans="2:4" ht="19.5" customHeight="1" x14ac:dyDescent="0.2">
      <c r="B3" s="25" t="s">
        <v>372</v>
      </c>
      <c r="C3" s="24" t="s">
        <v>373</v>
      </c>
      <c r="D3" s="19">
        <f>+NOMBRE!AG2</f>
        <v>0</v>
      </c>
    </row>
    <row r="4" spans="2:4" ht="19.5" customHeight="1" x14ac:dyDescent="0.2">
      <c r="B4" s="25" t="s">
        <v>372</v>
      </c>
      <c r="C4" s="24" t="s">
        <v>374</v>
      </c>
      <c r="D4" s="19">
        <f>+NOMBRE!AG3</f>
        <v>0</v>
      </c>
    </row>
    <row r="5" spans="2:4" ht="19.5" customHeight="1" x14ac:dyDescent="0.2">
      <c r="B5" s="25" t="s">
        <v>372</v>
      </c>
      <c r="C5" s="24" t="s">
        <v>375</v>
      </c>
      <c r="D5" s="19">
        <f>+NOMBRE!AG6</f>
        <v>0</v>
      </c>
    </row>
    <row r="6" spans="2:4" ht="31.5" customHeight="1" thickBot="1" x14ac:dyDescent="0.25">
      <c r="B6" s="51" t="s">
        <v>376</v>
      </c>
      <c r="C6" s="224" t="s">
        <v>377</v>
      </c>
      <c r="D6" s="237" t="str">
        <f>IF('BM18'!A96=0,"SIN DATOS","")</f>
        <v/>
      </c>
    </row>
    <row r="7" spans="2:4" ht="18.75" customHeight="1" thickBot="1" x14ac:dyDescent="0.25">
      <c r="B7" s="20"/>
      <c r="C7" s="21" t="s">
        <v>378</v>
      </c>
      <c r="D7" s="22">
        <f>SUM(D3:D6)</f>
        <v>0</v>
      </c>
    </row>
    <row r="8" spans="2:4" ht="14.25" customHeight="1" x14ac:dyDescent="0.2"/>
    <row r="9" spans="2:4" ht="14.25" customHeight="1" x14ac:dyDescent="0.2"/>
    <row r="10" spans="2:4" ht="14.25" customHeight="1" x14ac:dyDescent="0.2"/>
    <row r="11" spans="2:4" ht="14.25" customHeight="1" x14ac:dyDescent="0.2">
      <c r="B11" s="23" t="s">
        <v>379</v>
      </c>
      <c r="C11" s="23"/>
    </row>
    <row r="12" spans="2:4" ht="14.25" customHeight="1" x14ac:dyDescent="0.2">
      <c r="B12" s="23" t="b">
        <f>ISBLANK(NOMBRE!B2)</f>
        <v>0</v>
      </c>
      <c r="C12" s="23"/>
    </row>
    <row r="13" spans="2:4" ht="14.25" customHeight="1" x14ac:dyDescent="0.2"/>
    <row r="78" spans="4:4" hidden="1" x14ac:dyDescent="0.2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/>
  </sheetViews>
  <sheetFormatPr baseColWidth="10" defaultColWidth="11.42578125" defaultRowHeight="12.75" x14ac:dyDescent="0.2"/>
  <cols>
    <col min="2" max="2" width="50.28515625" customWidth="1"/>
    <col min="3" max="4" width="6.7109375" customWidth="1"/>
  </cols>
  <sheetData>
    <row r="1" spans="1:14" ht="37.5" customHeight="1" x14ac:dyDescent="0.2">
      <c r="A1" s="354" t="s">
        <v>380</v>
      </c>
      <c r="B1" s="355"/>
      <c r="C1" s="355"/>
      <c r="D1" s="355"/>
      <c r="E1" s="355"/>
      <c r="F1" s="355"/>
      <c r="G1" s="355"/>
      <c r="H1" s="355"/>
      <c r="I1" s="355"/>
      <c r="J1" s="355"/>
      <c r="K1" s="355"/>
      <c r="L1" s="355"/>
      <c r="M1" s="355"/>
      <c r="N1" s="356"/>
    </row>
    <row r="2" spans="1:14" ht="19.5" customHeight="1" x14ac:dyDescent="0.2">
      <c r="A2" s="152" t="str">
        <f>CONCATENATE("ESTABLECIMIENTO: ",NOMBRE!B3," - ",NOMBRE!C3,NOMBRE!D3,NOMBRE!E3,NOMBRE!F3,NOMBRE!G3,NOMBRE!H3,NOMBRE!I3," 
  "," / MES:  ",NOMBRE!B6,"  / AÑO:  ",NOMBRE!B7)</f>
        <v>ESTABLECIMIENTO: CENTRO DE SALUD FAMILIAR LABRANZA - 121350 
   / MES:  ENERO  / AÑO:  2025</v>
      </c>
    </row>
    <row r="3" spans="1:14" ht="20.25" customHeight="1" x14ac:dyDescent="0.2"/>
    <row r="4" spans="1:14" ht="22.5" customHeight="1" x14ac:dyDescent="0.2"/>
    <row r="5" spans="1:14" ht="49.5" customHeight="1" x14ac:dyDescent="0.2">
      <c r="B5" s="155" t="s">
        <v>381</v>
      </c>
      <c r="E5" s="149"/>
      <c r="F5" s="150"/>
      <c r="G5" s="150"/>
      <c r="H5" s="151"/>
    </row>
    <row r="6" spans="1:14" ht="27.75" customHeight="1" x14ac:dyDescent="0.2">
      <c r="B6" s="156" t="s">
        <v>382</v>
      </c>
    </row>
    <row r="7" spans="1:14" x14ac:dyDescent="0.2">
      <c r="B7" s="357" t="str">
        <f>IF(Control!D7&gt;0,"ANTES DE EJECUTAR LA MACRO REVISE LA HOJA CONTROL, EXISTEN ERRORES","")</f>
        <v/>
      </c>
      <c r="C7" s="358"/>
      <c r="D7" s="358"/>
      <c r="E7" s="358"/>
      <c r="F7" s="358"/>
      <c r="G7" s="358"/>
      <c r="H7" s="359"/>
    </row>
    <row r="8" spans="1:14" x14ac:dyDescent="0.2">
      <c r="B8" s="360"/>
      <c r="C8" s="361"/>
      <c r="D8" s="361"/>
      <c r="E8" s="361"/>
      <c r="F8" s="361"/>
      <c r="G8" s="361"/>
      <c r="H8" s="362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409575</xdr:colOff>
                <xdr:row>4</xdr:row>
                <xdr:rowOff>523875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BM18</vt:lpstr>
      <vt:lpstr>BM18A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>Sergio Guzman Solis</cp:lastModifiedBy>
  <cp:revision/>
  <dcterms:created xsi:type="dcterms:W3CDTF">2007-01-29T23:37:08Z</dcterms:created>
  <dcterms:modified xsi:type="dcterms:W3CDTF">2025-02-06T19:17:32Z</dcterms:modified>
  <cp:category/>
  <cp:contentStatus/>
</cp:coreProperties>
</file>