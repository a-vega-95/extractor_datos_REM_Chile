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ma.ginformacion2.DC1Temuco\Desktop\"/>
    </mc:Choice>
  </mc:AlternateContent>
  <xr:revisionPtr revIDLastSave="0" documentId="8_{144D80C2-8D12-4C84-A18E-32BB863EB37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3" activeTab="3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<sst xmlns="http://schemas.openxmlformats.org/spreadsheetml/2006/main" count="437" uniqueCount="383">
  <si>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</si>
  <si>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</si>
  <si>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</si>
  <si>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</si>
  <si>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</si>
  <si>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</si>
  <si>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</si>
  <si>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</si>
  <si>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</si>
  <si>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</si>
  <si>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</si>
  <si>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</si>
  <si>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SRTA MARCELA SOTO ARIAS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</si>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</sst>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82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73" t="s">
        <v>10</v>
      </c>
      <c r="B9" s="274"/>
    </row>
    <row r="10" spans="1:33" ht="12" customHeight="1">
      <c r="A10" s="5"/>
      <c r="B10" s="6"/>
    </row>
    <row r="11" spans="1:33" ht="27.75" customHeight="1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" zoomScaleNormal="100" workbookViewId="0">
      <selection activeCell="I37" sqref="I37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>
      <c r="A4" s="50" t="str">
        <f>CONCATENATE("MES: ",NOMBRE!B6,"  ","( ",NOMBRE!C6,NOMBRE!D6," )")</f>
        <v>MES: ENERO  ( 01 )</v>
      </c>
    </row>
    <row r="5" spans="1:6">
      <c r="A5" s="50" t="str">
        <f>CONCATENATE("AÑO: ",NOMBRE!B7)</f>
        <v>AÑO: 2025</v>
      </c>
    </row>
    <row r="8" spans="1:6" ht="29.25" customHeight="1">
      <c r="A8" s="275" t="s">
        <v>64</v>
      </c>
      <c r="B8" s="275"/>
      <c r="C8" s="275"/>
      <c r="D8" s="275"/>
      <c r="E8" s="275"/>
      <c r="F8" s="275"/>
    </row>
    <row r="9" spans="1:6" s="145" customFormat="1" ht="28.5" customHeight="1">
      <c r="A9" s="275"/>
      <c r="B9" s="275"/>
      <c r="C9" s="275"/>
      <c r="D9" s="275"/>
      <c r="E9" s="275"/>
      <c r="F9" s="275"/>
    </row>
    <row r="10" spans="1:6" ht="26.25" customHeight="1">
      <c r="A10" s="283" t="s">
        <v>65</v>
      </c>
      <c r="B10" s="283"/>
      <c r="C10" s="283"/>
    </row>
    <row r="11" spans="1:6" ht="12.75" customHeight="1">
      <c r="A11" s="286" t="s">
        <v>66</v>
      </c>
      <c r="B11" s="287"/>
      <c r="C11" s="288"/>
      <c r="D11" s="276" t="s">
        <v>67</v>
      </c>
      <c r="E11" s="276" t="s">
        <v>68</v>
      </c>
      <c r="F11" s="279" t="s">
        <v>69</v>
      </c>
    </row>
    <row r="12" spans="1:6" ht="21.75" customHeight="1">
      <c r="A12" s="289"/>
      <c r="B12" s="290"/>
      <c r="C12" s="291"/>
      <c r="D12" s="278"/>
      <c r="E12" s="278" t="s">
        <v>70</v>
      </c>
      <c r="F12" s="280" t="s">
        <v>70</v>
      </c>
    </row>
    <row r="13" spans="1:6" ht="20.25" customHeight="1">
      <c r="A13" s="43" t="s">
        <v>71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294" t="s">
        <v>73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284" t="s">
        <v>75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>
      <c r="A16" s="45" t="s">
        <v>76</v>
      </c>
      <c r="B16" s="284" t="s">
        <v>77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>
      <c r="A17" s="45" t="s">
        <v>78</v>
      </c>
      <c r="B17" s="284" t="s">
        <v>79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>
      <c r="A18" s="46" t="s">
        <v>80</v>
      </c>
      <c r="B18" s="284" t="s">
        <v>81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>
      <c r="A19" s="47" t="s">
        <v>82</v>
      </c>
      <c r="B19" s="296" t="s">
        <v>83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>
      <c r="A20" s="48" t="s">
        <v>84</v>
      </c>
      <c r="B20" s="300" t="s">
        <v>85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>
      <c r="A21" s="43" t="s">
        <v>86</v>
      </c>
      <c r="B21" s="281"/>
      <c r="C21" s="282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02" t="s">
        <v>88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>
      <c r="A23" s="99"/>
      <c r="B23" s="304" t="s">
        <v>89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>
      <c r="A24" s="276"/>
      <c r="B24" s="306" t="s">
        <v>90</v>
      </c>
      <c r="C24" s="187" t="s">
        <v>91</v>
      </c>
      <c r="D24" s="78">
        <f>SUM(F24)</f>
        <v>0</v>
      </c>
      <c r="E24" s="186"/>
      <c r="F24" s="101">
        <v>0</v>
      </c>
    </row>
    <row r="25" spans="1:6" ht="17.25" customHeight="1">
      <c r="A25" s="277"/>
      <c r="B25" s="293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77"/>
      <c r="B26" s="292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77"/>
      <c r="B27" s="293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77"/>
      <c r="B28" s="292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77"/>
      <c r="B29" s="293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77"/>
      <c r="B30" s="292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77"/>
      <c r="B31" s="293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77"/>
      <c r="B32" s="29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77"/>
      <c r="B33" s="29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77"/>
      <c r="B34" s="292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77"/>
      <c r="B35" s="293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77"/>
      <c r="B36" s="292" t="s">
        <v>98</v>
      </c>
      <c r="C36" s="133" t="s">
        <v>91</v>
      </c>
      <c r="D36" s="82">
        <f>SUM(F36)</f>
        <v>0</v>
      </c>
      <c r="E36" s="148"/>
      <c r="F36" s="95"/>
    </row>
    <row r="37" spans="1:6" ht="17.25" customHeight="1">
      <c r="A37" s="278"/>
      <c r="B37" s="293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79" t="s">
        <v>100</v>
      </c>
      <c r="B40" s="279" t="s">
        <v>67</v>
      </c>
      <c r="C40" s="276" t="s">
        <v>68</v>
      </c>
      <c r="D40" s="279" t="s">
        <v>69</v>
      </c>
    </row>
    <row r="41" spans="1:6" ht="25.5" customHeight="1">
      <c r="A41" s="280"/>
      <c r="B41" s="307"/>
      <c r="C41" s="278" t="s">
        <v>70</v>
      </c>
      <c r="D41" s="280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BM18A!D151</f>
        <v>0</v>
      </c>
      <c r="D43" s="83">
        <f>BM18A!E151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>
      <c r="A46" s="90" t="s">
        <v>105</v>
      </c>
      <c r="B46" s="79">
        <f t="shared" si="4"/>
        <v>90</v>
      </c>
      <c r="C46" s="83">
        <f>BM18A!D141</f>
        <v>0</v>
      </c>
      <c r="D46" s="83">
        <f>BM18A!E141</f>
        <v>90</v>
      </c>
    </row>
    <row r="47" spans="1:6" ht="16.5" customHeight="1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>
      <c r="A50" s="90" t="s">
        <v>109</v>
      </c>
      <c r="B50" s="90">
        <f t="shared" si="4"/>
        <v>24</v>
      </c>
      <c r="C50" s="79">
        <f>BM18A!D170</f>
        <v>0</v>
      </c>
      <c r="D50" s="79">
        <f>BM18A!E170</f>
        <v>24</v>
      </c>
    </row>
    <row r="51" spans="1:4" ht="16.5" customHeight="1">
      <c r="A51" s="246" t="s">
        <v>110</v>
      </c>
      <c r="B51" s="90">
        <f t="shared" si="4"/>
        <v>410</v>
      </c>
      <c r="C51" s="81">
        <f>BM18A!D199</f>
        <v>0</v>
      </c>
      <c r="D51" s="81">
        <f>BM18A!E199</f>
        <v>410</v>
      </c>
    </row>
    <row r="52" spans="1:4" ht="17.25" customHeight="1">
      <c r="A52" s="91" t="s">
        <v>67</v>
      </c>
      <c r="B52" s="77">
        <f>SUM(B42:B51)</f>
        <v>524</v>
      </c>
      <c r="C52" s="77">
        <f>SUM(C42:C51)</f>
        <v>0</v>
      </c>
      <c r="D52" s="77">
        <f>SUM(D42:D51)</f>
        <v>524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15" t="s">
        <v>112</v>
      </c>
      <c r="B55" s="313" t="s">
        <v>67</v>
      </c>
    </row>
    <row r="56" spans="1:4">
      <c r="A56" s="316"/>
      <c r="B56" s="314"/>
    </row>
    <row r="57" spans="1:4" ht="17.25" customHeight="1">
      <c r="A57" s="116" t="s">
        <v>113</v>
      </c>
      <c r="B57" s="222"/>
    </row>
    <row r="58" spans="1:4" ht="27.75" customHeight="1">
      <c r="A58" s="36" t="s">
        <v>114</v>
      </c>
      <c r="D58" s="52"/>
    </row>
    <row r="59" spans="1:4" ht="32.25" customHeight="1">
      <c r="A59" s="311" t="s">
        <v>115</v>
      </c>
      <c r="B59" s="312"/>
      <c r="C59" s="103" t="s">
        <v>116</v>
      </c>
      <c r="D59" s="104" t="s">
        <v>117</v>
      </c>
    </row>
    <row r="60" spans="1:4" ht="16.5" customHeight="1">
      <c r="A60" s="308" t="s">
        <v>118</v>
      </c>
      <c r="B60" s="223" t="s">
        <v>119</v>
      </c>
      <c r="C60" s="87">
        <v>205</v>
      </c>
      <c r="D60" s="84"/>
    </row>
    <row r="61" spans="1:4" ht="16.5" customHeight="1">
      <c r="A61" s="309"/>
      <c r="B61" s="12" t="s">
        <v>120</v>
      </c>
      <c r="C61" s="88"/>
      <c r="D61" s="85"/>
    </row>
    <row r="62" spans="1:4" ht="16.5" customHeight="1">
      <c r="A62" s="310"/>
      <c r="B62" s="13" t="s">
        <v>121</v>
      </c>
      <c r="C62" s="89"/>
      <c r="D62" s="86"/>
    </row>
    <row r="96" spans="1:1" hidden="1">
      <c r="A96" s="236">
        <f>SUM(D13:D37,B42:B52,B57,C60:C62)</f>
        <v>1253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A190" zoomScaleNormal="100" workbookViewId="0">
      <selection activeCell="E107" sqref="E107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30"/>
      <c r="B6" s="330"/>
      <c r="C6" s="330"/>
      <c r="U6" s="54"/>
    </row>
    <row r="7" spans="1:21" s="53" customFormat="1" ht="36.75" customHeight="1">
      <c r="A7" s="344" t="s">
        <v>122</v>
      </c>
      <c r="B7" s="344"/>
      <c r="C7" s="344"/>
      <c r="D7" s="344"/>
      <c r="E7" s="344"/>
      <c r="F7" s="344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41" t="s">
        <v>1</v>
      </c>
      <c r="B10" s="323" t="s">
        <v>66</v>
      </c>
      <c r="C10" s="337" t="s">
        <v>67</v>
      </c>
      <c r="D10" s="323" t="s">
        <v>68</v>
      </c>
      <c r="E10" s="342" t="s">
        <v>69</v>
      </c>
      <c r="F10" s="323" t="s">
        <v>123</v>
      </c>
    </row>
    <row r="11" spans="1:21" ht="18" customHeight="1">
      <c r="A11" s="341"/>
      <c r="B11" s="324"/>
      <c r="C11" s="338"/>
      <c r="D11" s="324"/>
      <c r="E11" s="343"/>
      <c r="F11" s="324"/>
    </row>
    <row r="12" spans="1:21" ht="15" customHeight="1">
      <c r="A12" s="333" t="s">
        <v>124</v>
      </c>
      <c r="B12" s="333"/>
      <c r="C12" s="325"/>
      <c r="D12" s="326"/>
      <c r="E12" s="326"/>
      <c r="F12" s="339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>
      <c r="A21" s="169"/>
      <c r="B21" s="169"/>
      <c r="C21" s="170"/>
      <c r="D21" s="170"/>
      <c r="E21" s="170"/>
      <c r="F21" s="170"/>
    </row>
    <row r="22" spans="1:6" ht="15" customHeight="1">
      <c r="A22" s="333" t="s">
        <v>139</v>
      </c>
      <c r="B22" s="333"/>
      <c r="C22" s="334"/>
      <c r="D22" s="335"/>
      <c r="E22" s="335"/>
      <c r="F22" s="336"/>
    </row>
    <row r="23" spans="1:6" ht="15" customHeight="1">
      <c r="A23" s="56" t="s">
        <v>140</v>
      </c>
      <c r="B23" s="121" t="s">
        <v>141</v>
      </c>
      <c r="C23" s="64">
        <f t="shared" ref="C23:C34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21.95" customHeight="1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31.5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15" customHeight="1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15" customHeight="1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1.25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21.95" customHeight="1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>
      <c r="A35" s="56" t="s">
        <v>164</v>
      </c>
      <c r="B35" s="121" t="s">
        <v>165</v>
      </c>
      <c r="C35" s="64">
        <f t="shared" ref="C35:C39" si="3">SUM(D35:E35)</f>
        <v>0</v>
      </c>
      <c r="D35" s="65">
        <v>0</v>
      </c>
      <c r="E35" s="114">
        <v>0</v>
      </c>
      <c r="F35" s="65">
        <v>0</v>
      </c>
    </row>
    <row r="36" spans="1:6" ht="14.25" customHeight="1">
      <c r="A36" s="56" t="s">
        <v>166</v>
      </c>
      <c r="B36" s="121" t="s">
        <v>167</v>
      </c>
      <c r="C36" s="64">
        <f t="shared" si="3"/>
        <v>0</v>
      </c>
      <c r="D36" s="65">
        <v>0</v>
      </c>
      <c r="E36" s="114">
        <v>0</v>
      </c>
      <c r="F36" s="65">
        <v>0</v>
      </c>
    </row>
    <row r="37" spans="1:6" ht="15" customHeight="1">
      <c r="A37" s="56" t="s">
        <v>168</v>
      </c>
      <c r="B37" s="121" t="s">
        <v>169</v>
      </c>
      <c r="C37" s="64">
        <f t="shared" ref="C37" si="4">SUM(D37:E37)</f>
        <v>0</v>
      </c>
      <c r="D37" s="65">
        <v>0</v>
      </c>
      <c r="E37" s="114">
        <v>0</v>
      </c>
      <c r="F37" s="65">
        <v>0</v>
      </c>
    </row>
    <row r="38" spans="1:6" ht="15" customHeight="1">
      <c r="A38" s="56" t="s">
        <v>170</v>
      </c>
      <c r="B38" s="121" t="s">
        <v>171</v>
      </c>
      <c r="C38" s="64">
        <f t="shared" si="3"/>
        <v>0</v>
      </c>
      <c r="D38" s="65">
        <v>0</v>
      </c>
      <c r="E38" s="114">
        <v>0</v>
      </c>
      <c r="F38" s="65">
        <v>0</v>
      </c>
    </row>
    <row r="39" spans="1:6" ht="15" customHeight="1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>
      <c r="A40" s="317" t="s">
        <v>67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>
      <c r="A41" s="130"/>
      <c r="B41" s="130"/>
      <c r="C41" s="135"/>
      <c r="D41" s="135"/>
      <c r="E41" s="135"/>
      <c r="F41" s="135"/>
    </row>
    <row r="42" spans="1:6" ht="15" customHeight="1">
      <c r="A42" s="319" t="s">
        <v>174</v>
      </c>
      <c r="B42" s="320"/>
      <c r="C42" s="345"/>
      <c r="D42" s="345"/>
      <c r="E42" s="345"/>
      <c r="F42" s="346"/>
    </row>
    <row r="43" spans="1:6" ht="15" customHeight="1">
      <c r="A43" s="239" t="s">
        <v>175</v>
      </c>
      <c r="B43" s="211" t="s">
        <v>176</v>
      </c>
      <c r="C43" s="64">
        <f t="shared" ref="C43:C45" si="5">SUM(D43:E43)</f>
        <v>0</v>
      </c>
      <c r="D43" s="65"/>
      <c r="E43" s="114"/>
      <c r="F43" s="65"/>
    </row>
    <row r="44" spans="1:6" ht="15" customHeight="1">
      <c r="A44" s="56" t="s">
        <v>177</v>
      </c>
      <c r="B44" s="121" t="s">
        <v>178</v>
      </c>
      <c r="C44" s="64">
        <f t="shared" si="5"/>
        <v>0</v>
      </c>
      <c r="D44" s="65"/>
      <c r="E44" s="114"/>
      <c r="F44" s="65"/>
    </row>
    <row r="45" spans="1:6" ht="15" customHeight="1">
      <c r="A45" s="56" t="s">
        <v>179</v>
      </c>
      <c r="B45" s="121" t="s">
        <v>180</v>
      </c>
      <c r="C45" s="64">
        <f t="shared" si="5"/>
        <v>0</v>
      </c>
      <c r="D45" s="65"/>
      <c r="E45" s="114"/>
      <c r="F45" s="65"/>
    </row>
    <row r="46" spans="1:6" ht="15" customHeight="1">
      <c r="A46" s="317" t="s">
        <v>67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>
      <c r="A47" s="130"/>
      <c r="B47" s="130"/>
      <c r="C47" s="135"/>
      <c r="D47" s="135"/>
      <c r="E47" s="135"/>
      <c r="F47" s="135"/>
    </row>
    <row r="48" spans="1:6" ht="15" customHeight="1">
      <c r="A48" s="319" t="s">
        <v>79</v>
      </c>
      <c r="B48" s="320"/>
      <c r="C48" s="347"/>
      <c r="D48" s="347"/>
      <c r="E48" s="347"/>
      <c r="F48" s="348"/>
    </row>
    <row r="49" spans="1:6" ht="15" customHeight="1">
      <c r="A49" s="240" t="s">
        <v>181</v>
      </c>
      <c r="B49" s="211" t="s">
        <v>182</v>
      </c>
      <c r="C49" s="64">
        <f t="shared" ref="C49:C50" si="6">SUM(D49:E49)</f>
        <v>0</v>
      </c>
      <c r="D49" s="65"/>
      <c r="E49" s="114"/>
      <c r="F49" s="65"/>
    </row>
    <row r="50" spans="1:6" ht="15" customHeight="1">
      <c r="A50" s="57" t="s">
        <v>183</v>
      </c>
      <c r="B50" s="121" t="s">
        <v>184</v>
      </c>
      <c r="C50" s="64">
        <f t="shared" si="6"/>
        <v>0</v>
      </c>
      <c r="D50" s="65"/>
      <c r="E50" s="114"/>
      <c r="F50" s="65"/>
    </row>
    <row r="51" spans="1:6" ht="15" customHeight="1">
      <c r="A51" s="317" t="s">
        <v>67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>
      <c r="A52" s="130"/>
      <c r="B52" s="130"/>
      <c r="C52" s="135"/>
      <c r="D52" s="135"/>
      <c r="E52" s="135"/>
      <c r="F52" s="135"/>
    </row>
    <row r="53" spans="1:6" ht="15" customHeight="1">
      <c r="A53" s="319" t="s">
        <v>81</v>
      </c>
      <c r="B53" s="320"/>
      <c r="C53" s="349"/>
      <c r="D53" s="347"/>
      <c r="E53" s="347"/>
      <c r="F53" s="348"/>
    </row>
    <row r="54" spans="1:6" ht="15" customHeight="1">
      <c r="A54" s="57" t="s">
        <v>185</v>
      </c>
      <c r="B54" s="121" t="s">
        <v>186</v>
      </c>
      <c r="C54" s="64">
        <f t="shared" ref="C54:C64" si="7">SUM(D54:E54)</f>
        <v>0</v>
      </c>
      <c r="D54" s="65"/>
      <c r="E54" s="114"/>
      <c r="F54" s="65"/>
    </row>
    <row r="55" spans="1:6" ht="15" customHeight="1">
      <c r="A55" s="57" t="s">
        <v>187</v>
      </c>
      <c r="B55" s="121" t="s">
        <v>188</v>
      </c>
      <c r="C55" s="64">
        <f t="shared" si="7"/>
        <v>0</v>
      </c>
      <c r="D55" s="65"/>
      <c r="E55" s="114"/>
      <c r="F55" s="65"/>
    </row>
    <row r="56" spans="1:6" ht="15" customHeight="1">
      <c r="A56" s="57" t="s">
        <v>189</v>
      </c>
      <c r="B56" s="121" t="s">
        <v>190</v>
      </c>
      <c r="C56" s="64">
        <f t="shared" si="7"/>
        <v>0</v>
      </c>
      <c r="D56" s="65"/>
      <c r="E56" s="114"/>
      <c r="F56" s="65"/>
    </row>
    <row r="57" spans="1:6" ht="15" customHeight="1">
      <c r="A57" s="57" t="s">
        <v>191</v>
      </c>
      <c r="B57" s="121" t="s">
        <v>192</v>
      </c>
      <c r="C57" s="64">
        <f t="shared" si="7"/>
        <v>0</v>
      </c>
      <c r="D57" s="65"/>
      <c r="E57" s="114"/>
      <c r="F57" s="65"/>
    </row>
    <row r="58" spans="1:6" ht="11.25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6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2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15" customHeight="1">
      <c r="A63" s="57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21">
      <c r="A64" s="57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8" t="s">
        <v>207</v>
      </c>
      <c r="B65" s="129" t="s">
        <v>208</v>
      </c>
      <c r="C65" s="66">
        <f t="shared" ref="C65" si="8">SUM(D65:E65)</f>
        <v>0</v>
      </c>
      <c r="D65" s="67"/>
      <c r="E65" s="115"/>
      <c r="F65" s="67"/>
    </row>
    <row r="66" spans="1:6" ht="15" customHeight="1">
      <c r="A66" s="317" t="s">
        <v>67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>
      <c r="A67" s="238"/>
      <c r="B67" s="238"/>
      <c r="C67" s="167"/>
      <c r="D67" s="167"/>
      <c r="E67" s="167"/>
      <c r="F67" s="167"/>
    </row>
    <row r="68" spans="1:6" ht="15" customHeight="1">
      <c r="A68" s="352" t="s">
        <v>209</v>
      </c>
      <c r="B68" s="353"/>
      <c r="C68" s="241"/>
      <c r="D68" s="242"/>
      <c r="E68" s="242"/>
      <c r="F68" s="243"/>
    </row>
    <row r="69" spans="1:6" ht="15" customHeight="1">
      <c r="A69" s="57" t="s">
        <v>210</v>
      </c>
      <c r="B69" s="121" t="s">
        <v>211</v>
      </c>
      <c r="C69" s="64">
        <f t="shared" ref="C69:C70" si="9">SUM(D69:E69)</f>
        <v>0</v>
      </c>
      <c r="D69" s="65"/>
      <c r="E69" s="114"/>
      <c r="F69" s="65"/>
    </row>
    <row r="70" spans="1:6" ht="15" customHeight="1">
      <c r="A70" s="57" t="s">
        <v>212</v>
      </c>
      <c r="B70" s="121" t="s">
        <v>213</v>
      </c>
      <c r="C70" s="64">
        <f t="shared" si="9"/>
        <v>0</v>
      </c>
      <c r="D70" s="65"/>
      <c r="E70" s="114"/>
      <c r="F70" s="65"/>
    </row>
    <row r="71" spans="1:6" ht="15" customHeight="1">
      <c r="A71" s="317" t="s">
        <v>67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>
      <c r="A72" s="130"/>
      <c r="B72" s="130"/>
      <c r="C72" s="135"/>
      <c r="D72" s="135"/>
      <c r="E72" s="135"/>
      <c r="F72" s="135"/>
    </row>
    <row r="73" spans="1:6" ht="15" customHeight="1">
      <c r="A73" s="319" t="s">
        <v>214</v>
      </c>
      <c r="B73" s="327"/>
      <c r="C73" s="137"/>
      <c r="D73" s="125"/>
      <c r="E73" s="125"/>
      <c r="F73" s="136"/>
    </row>
    <row r="74" spans="1:6" ht="15" customHeight="1">
      <c r="A74" s="57" t="s">
        <v>215</v>
      </c>
      <c r="B74" s="121" t="s">
        <v>216</v>
      </c>
      <c r="C74" s="64">
        <f t="shared" ref="C74:C80" si="10">SUM(D74:E74)</f>
        <v>0</v>
      </c>
      <c r="D74" s="65"/>
      <c r="E74" s="114"/>
      <c r="F74" s="65"/>
    </row>
    <row r="75" spans="1:6" ht="15" customHeight="1">
      <c r="A75" s="57" t="s">
        <v>217</v>
      </c>
      <c r="B75" s="121" t="s">
        <v>218</v>
      </c>
      <c r="C75" s="64">
        <f t="shared" si="10"/>
        <v>0</v>
      </c>
      <c r="D75" s="65"/>
      <c r="E75" s="114"/>
      <c r="F75" s="65"/>
    </row>
    <row r="76" spans="1:6" ht="15" customHeight="1">
      <c r="A76" s="57" t="s">
        <v>219</v>
      </c>
      <c r="B76" s="121" t="s">
        <v>220</v>
      </c>
      <c r="C76" s="64">
        <f t="shared" si="10"/>
        <v>0</v>
      </c>
      <c r="D76" s="65"/>
      <c r="E76" s="114"/>
      <c r="F76" s="65"/>
    </row>
    <row r="77" spans="1:6" ht="15" customHeight="1">
      <c r="A77" s="57" t="s">
        <v>221</v>
      </c>
      <c r="B77" s="121" t="s">
        <v>222</v>
      </c>
      <c r="C77" s="64">
        <f t="shared" si="10"/>
        <v>0</v>
      </c>
      <c r="D77" s="65"/>
      <c r="E77" s="114"/>
      <c r="F77" s="65"/>
    </row>
    <row r="78" spans="1:6" ht="15" customHeight="1">
      <c r="A78" s="57" t="s">
        <v>223</v>
      </c>
      <c r="B78" s="121" t="s">
        <v>224</v>
      </c>
      <c r="C78" s="64">
        <f t="shared" si="10"/>
        <v>0</v>
      </c>
      <c r="D78" s="65"/>
      <c r="E78" s="114"/>
      <c r="F78" s="65"/>
    </row>
    <row r="79" spans="1:6" ht="21">
      <c r="A79" s="57" t="s">
        <v>225</v>
      </c>
      <c r="B79" s="121" t="s">
        <v>226</v>
      </c>
      <c r="C79" s="64">
        <f t="shared" si="10"/>
        <v>0</v>
      </c>
      <c r="D79" s="65"/>
      <c r="E79" s="114"/>
      <c r="F79" s="65"/>
    </row>
    <row r="80" spans="1:6" ht="15" customHeight="1">
      <c r="A80" s="57" t="s">
        <v>227</v>
      </c>
      <c r="B80" s="121" t="s">
        <v>228</v>
      </c>
      <c r="C80" s="64">
        <f t="shared" si="10"/>
        <v>0</v>
      </c>
      <c r="D80" s="65"/>
      <c r="E80" s="114"/>
      <c r="F80" s="65"/>
    </row>
    <row r="81" spans="1:6" ht="15" customHeight="1">
      <c r="A81" s="317" t="s">
        <v>67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>
      <c r="A82" s="317" t="s">
        <v>229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>
      <c r="A83" s="130"/>
      <c r="B83" s="130"/>
      <c r="C83" s="135"/>
      <c r="D83" s="135"/>
      <c r="E83" s="135"/>
      <c r="F83" s="135"/>
    </row>
    <row r="84" spans="1:6" ht="15" customHeight="1">
      <c r="A84" s="350" t="s">
        <v>230</v>
      </c>
      <c r="B84" s="351"/>
      <c r="C84" s="321"/>
      <c r="D84" s="321"/>
      <c r="E84" s="321"/>
      <c r="F84" s="322"/>
    </row>
    <row r="85" spans="1:6" ht="15" customHeight="1">
      <c r="A85" s="193" t="s">
        <v>231</v>
      </c>
      <c r="B85" s="128" t="s">
        <v>232</v>
      </c>
      <c r="C85" s="188">
        <f t="shared" ref="C85:C106" si="11">SUM(D85:E85)</f>
        <v>0</v>
      </c>
      <c r="D85" s="63"/>
      <c r="E85" s="113"/>
      <c r="F85" s="63"/>
    </row>
    <row r="86" spans="1:6" ht="15" customHeight="1">
      <c r="A86" s="57" t="s">
        <v>233</v>
      </c>
      <c r="B86" s="121" t="s">
        <v>234</v>
      </c>
      <c r="C86" s="64">
        <f t="shared" si="11"/>
        <v>0</v>
      </c>
      <c r="D86" s="65"/>
      <c r="E86" s="114"/>
      <c r="F86" s="65"/>
    </row>
    <row r="87" spans="1:6" ht="15" customHeight="1">
      <c r="A87" s="57" t="s">
        <v>235</v>
      </c>
      <c r="B87" s="121" t="s">
        <v>236</v>
      </c>
      <c r="C87" s="64">
        <f t="shared" si="11"/>
        <v>0</v>
      </c>
      <c r="D87" s="65"/>
      <c r="E87" s="114"/>
      <c r="F87" s="65"/>
    </row>
    <row r="88" spans="1:6" ht="15" customHeight="1">
      <c r="A88" s="57" t="s">
        <v>237</v>
      </c>
      <c r="B88" s="121" t="s">
        <v>238</v>
      </c>
      <c r="C88" s="64">
        <f t="shared" si="11"/>
        <v>0</v>
      </c>
      <c r="D88" s="65"/>
      <c r="E88" s="114"/>
      <c r="F88" s="65"/>
    </row>
    <row r="89" spans="1:6" ht="15" customHeight="1">
      <c r="A89" s="57" t="s">
        <v>239</v>
      </c>
      <c r="B89" s="121" t="s">
        <v>240</v>
      </c>
      <c r="C89" s="64">
        <f t="shared" si="11"/>
        <v>0</v>
      </c>
      <c r="D89" s="65"/>
      <c r="E89" s="114"/>
      <c r="F89" s="65"/>
    </row>
    <row r="90" spans="1:6" ht="15" customHeight="1">
      <c r="A90" s="57" t="s">
        <v>241</v>
      </c>
      <c r="B90" s="121" t="s">
        <v>242</v>
      </c>
      <c r="C90" s="64">
        <f t="shared" si="11"/>
        <v>0</v>
      </c>
      <c r="D90" s="65"/>
      <c r="E90" s="114"/>
      <c r="F90" s="65"/>
    </row>
    <row r="91" spans="1:6" ht="15" customHeight="1">
      <c r="A91" s="57" t="s">
        <v>243</v>
      </c>
      <c r="B91" s="121" t="s">
        <v>244</v>
      </c>
      <c r="C91" s="64">
        <f t="shared" si="11"/>
        <v>0</v>
      </c>
      <c r="D91" s="65"/>
      <c r="E91" s="114"/>
      <c r="F91" s="65"/>
    </row>
    <row r="92" spans="1:6" ht="15" customHeight="1">
      <c r="A92" s="57" t="s">
        <v>245</v>
      </c>
      <c r="B92" s="121" t="s">
        <v>246</v>
      </c>
      <c r="C92" s="64">
        <f t="shared" si="11"/>
        <v>0</v>
      </c>
      <c r="D92" s="65"/>
      <c r="E92" s="114"/>
      <c r="F92" s="65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2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ref="C107:C111" si="12">SUM(D107:E107)</f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2"/>
        <v>0</v>
      </c>
      <c r="D108" s="65"/>
      <c r="E108" s="114"/>
      <c r="F108" s="65"/>
    </row>
    <row r="109" spans="1:6" ht="15" customHeight="1">
      <c r="A109" s="57" t="s">
        <v>279</v>
      </c>
      <c r="B109" s="121" t="s">
        <v>280</v>
      </c>
      <c r="C109" s="64">
        <f t="shared" si="12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2"/>
        <v>0</v>
      </c>
      <c r="D110" s="65"/>
      <c r="E110" s="114"/>
      <c r="F110" s="65"/>
    </row>
    <row r="111" spans="1:6" ht="15" customHeight="1">
      <c r="A111" s="194" t="s">
        <v>283</v>
      </c>
      <c r="B111" s="192" t="s">
        <v>284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>
      <c r="A112" s="142"/>
      <c r="B112" s="138"/>
      <c r="C112" s="139"/>
      <c r="D112" s="140"/>
      <c r="E112" s="140"/>
      <c r="F112" s="140"/>
    </row>
    <row r="113" spans="1:5" ht="15" customHeight="1">
      <c r="A113" s="319" t="s">
        <v>285</v>
      </c>
      <c r="B113" s="320"/>
      <c r="C113" s="320"/>
      <c r="D113" s="320"/>
      <c r="E113" s="327"/>
    </row>
    <row r="114" spans="1:5" ht="14.1" customHeight="1">
      <c r="A114" s="323" t="s">
        <v>1</v>
      </c>
      <c r="B114" s="328" t="s">
        <v>100</v>
      </c>
      <c r="C114" s="323" t="s">
        <v>70</v>
      </c>
      <c r="D114" s="323" t="s">
        <v>68</v>
      </c>
      <c r="E114" s="323" t="s">
        <v>69</v>
      </c>
    </row>
    <row r="115" spans="1:5" s="141" customFormat="1" ht="15" customHeight="1">
      <c r="A115" s="324"/>
      <c r="B115" s="329"/>
      <c r="C115" s="324"/>
      <c r="D115" s="324"/>
      <c r="E115" s="324"/>
    </row>
    <row r="116" spans="1:5" ht="15" customHeight="1">
      <c r="A116" s="319" t="s">
        <v>286</v>
      </c>
      <c r="B116" s="320"/>
      <c r="C116" s="126"/>
      <c r="D116" s="126"/>
      <c r="E116" s="126"/>
    </row>
    <row r="117" spans="1:5" ht="15" customHeight="1">
      <c r="A117" s="59">
        <v>1301025</v>
      </c>
      <c r="B117" s="128" t="s">
        <v>287</v>
      </c>
      <c r="C117" s="70">
        <f>SUM(D117:E117)</f>
        <v>0</v>
      </c>
      <c r="D117" s="68"/>
      <c r="E117" s="68"/>
    </row>
    <row r="118" spans="1:5" ht="15" customHeight="1">
      <c r="A118" s="60">
        <v>1301026</v>
      </c>
      <c r="B118" s="121" t="s">
        <v>288</v>
      </c>
      <c r="C118" s="71">
        <f t="shared" ref="C118:C120" si="13">SUM(D118:E118)</f>
        <v>0</v>
      </c>
      <c r="D118" s="69"/>
      <c r="E118" s="69"/>
    </row>
    <row r="119" spans="1:5" ht="15" customHeight="1">
      <c r="A119" s="60">
        <v>1301029</v>
      </c>
      <c r="B119" s="121" t="s">
        <v>289</v>
      </c>
      <c r="C119" s="71">
        <f t="shared" si="13"/>
        <v>0</v>
      </c>
      <c r="D119" s="69"/>
      <c r="E119" s="69"/>
    </row>
    <row r="120" spans="1:5" ht="15" customHeight="1">
      <c r="A120" s="60">
        <v>1301030</v>
      </c>
      <c r="B120" s="121" t="s">
        <v>290</v>
      </c>
      <c r="C120" s="71">
        <f t="shared" si="13"/>
        <v>0</v>
      </c>
      <c r="D120" s="69"/>
      <c r="E120" s="69"/>
    </row>
    <row r="121" spans="1:5" ht="15" customHeight="1">
      <c r="A121" s="317" t="s">
        <v>67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>
      <c r="A122" s="130"/>
      <c r="B122" s="130"/>
      <c r="C122" s="200"/>
      <c r="D122" s="200"/>
      <c r="E122" s="200"/>
    </row>
    <row r="123" spans="1:5" ht="15" customHeight="1">
      <c r="A123" s="319" t="s">
        <v>291</v>
      </c>
      <c r="B123" s="320"/>
      <c r="C123" s="203"/>
      <c r="D123" s="203"/>
      <c r="E123" s="204"/>
    </row>
    <row r="124" spans="1:5" ht="15" customHeight="1">
      <c r="A124" s="59">
        <v>1601110</v>
      </c>
      <c r="B124" s="128" t="s">
        <v>292</v>
      </c>
      <c r="C124" s="244">
        <f t="shared" ref="C124:C132" si="14">SUM(D124:E124)</f>
        <v>0</v>
      </c>
      <c r="D124" s="245"/>
      <c r="E124" s="245"/>
    </row>
    <row r="125" spans="1:5" ht="23.25" customHeight="1">
      <c r="A125" s="210">
        <v>1602203</v>
      </c>
      <c r="B125" s="211" t="s">
        <v>293</v>
      </c>
      <c r="C125" s="219">
        <f t="shared" si="14"/>
        <v>0</v>
      </c>
      <c r="D125" s="220"/>
      <c r="E125" s="220"/>
    </row>
    <row r="126" spans="1:5" ht="18" customHeight="1">
      <c r="A126" s="60">
        <v>1602206</v>
      </c>
      <c r="B126" s="121" t="s">
        <v>294</v>
      </c>
      <c r="C126" s="195">
        <f t="shared" si="14"/>
        <v>0</v>
      </c>
      <c r="D126" s="196"/>
      <c r="E126" s="196"/>
    </row>
    <row r="127" spans="1:5" ht="18" customHeight="1">
      <c r="A127" s="60">
        <v>1602221</v>
      </c>
      <c r="B127" s="121" t="s">
        <v>295</v>
      </c>
      <c r="C127" s="195">
        <f t="shared" si="14"/>
        <v>0</v>
      </c>
      <c r="D127" s="196"/>
      <c r="E127" s="196"/>
    </row>
    <row r="128" spans="1:5" ht="18" customHeight="1">
      <c r="A128" s="60">
        <v>1602222</v>
      </c>
      <c r="B128" s="121" t="s">
        <v>296</v>
      </c>
      <c r="C128" s="195">
        <f t="shared" si="14"/>
        <v>0</v>
      </c>
      <c r="D128" s="196"/>
      <c r="E128" s="196"/>
    </row>
    <row r="129" spans="1:5" ht="22.5" customHeight="1">
      <c r="A129" s="60">
        <v>1602223</v>
      </c>
      <c r="B129" s="121" t="s">
        <v>297</v>
      </c>
      <c r="C129" s="195">
        <f t="shared" si="14"/>
        <v>0</v>
      </c>
      <c r="D129" s="196"/>
      <c r="E129" s="196"/>
    </row>
    <row r="130" spans="1:5" ht="24" customHeight="1">
      <c r="A130" s="60">
        <v>1602224</v>
      </c>
      <c r="B130" s="121" t="s">
        <v>298</v>
      </c>
      <c r="C130" s="195">
        <f t="shared" si="14"/>
        <v>0</v>
      </c>
      <c r="D130" s="196"/>
      <c r="E130" s="196"/>
    </row>
    <row r="131" spans="1:5" ht="21.75" customHeight="1">
      <c r="A131" s="60">
        <v>1602225</v>
      </c>
      <c r="B131" s="121" t="s">
        <v>299</v>
      </c>
      <c r="C131" s="195">
        <f t="shared" si="14"/>
        <v>0</v>
      </c>
      <c r="D131" s="196"/>
      <c r="E131" s="196"/>
    </row>
    <row r="132" spans="1:5" ht="15" customHeight="1">
      <c r="A132" s="60">
        <v>1602231</v>
      </c>
      <c r="B132" s="121" t="s">
        <v>300</v>
      </c>
      <c r="C132" s="195">
        <f t="shared" si="14"/>
        <v>0</v>
      </c>
      <c r="D132" s="196"/>
      <c r="E132" s="196"/>
    </row>
    <row r="133" spans="1:5" ht="15" customHeight="1">
      <c r="A133" s="317" t="s">
        <v>67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>
      <c r="A134" s="130"/>
      <c r="B134" s="130"/>
      <c r="C134" s="132"/>
      <c r="D134" s="135"/>
      <c r="E134" s="135"/>
    </row>
    <row r="135" spans="1:5" ht="15" customHeight="1">
      <c r="A135" s="319" t="s">
        <v>301</v>
      </c>
      <c r="B135" s="320"/>
      <c r="C135" s="126"/>
      <c r="D135" s="126"/>
      <c r="E135" s="201"/>
    </row>
    <row r="136" spans="1:5" ht="15" customHeight="1">
      <c r="A136" s="59" t="s">
        <v>302</v>
      </c>
      <c r="B136" s="128" t="s">
        <v>303</v>
      </c>
      <c r="C136" s="70">
        <f>SUM(D136:E136)</f>
        <v>62</v>
      </c>
      <c r="D136" s="207">
        <v>0</v>
      </c>
      <c r="E136" s="68">
        <v>62</v>
      </c>
    </row>
    <row r="137" spans="1:5" ht="15" customHeight="1">
      <c r="A137" s="60" t="s">
        <v>304</v>
      </c>
      <c r="B137" s="121" t="s">
        <v>305</v>
      </c>
      <c r="C137" s="197">
        <f>SUM(D137:E137)</f>
        <v>28</v>
      </c>
      <c r="D137" s="208">
        <v>0</v>
      </c>
      <c r="E137" s="205">
        <v>28</v>
      </c>
    </row>
    <row r="138" spans="1:5" ht="15" customHeight="1">
      <c r="A138" s="60"/>
      <c r="B138" s="129" t="s">
        <v>306</v>
      </c>
      <c r="C138" s="73">
        <f>SUM(D138:E138)</f>
        <v>0</v>
      </c>
      <c r="D138" s="209">
        <v>0</v>
      </c>
      <c r="E138" s="206">
        <v>0</v>
      </c>
    </row>
    <row r="139" spans="1:5" ht="15" customHeight="1">
      <c r="A139" s="60"/>
      <c r="B139" s="121" t="s">
        <v>307</v>
      </c>
      <c r="C139" s="73">
        <f>SUM(D139:E139)</f>
        <v>0</v>
      </c>
      <c r="D139" s="250">
        <v>0</v>
      </c>
      <c r="E139" s="196">
        <v>0</v>
      </c>
    </row>
    <row r="140" spans="1:5" ht="15" customHeight="1">
      <c r="A140" s="60"/>
      <c r="B140" s="121" t="s">
        <v>308</v>
      </c>
      <c r="C140" s="198">
        <f>SUM(D140:E140)</f>
        <v>0</v>
      </c>
      <c r="D140" s="250">
        <v>0</v>
      </c>
      <c r="E140" s="251">
        <v>0</v>
      </c>
    </row>
    <row r="141" spans="1:5" ht="15" customHeight="1">
      <c r="A141" s="317" t="s">
        <v>67</v>
      </c>
      <c r="B141" s="318"/>
      <c r="C141" s="166">
        <f>SUM(C136:C140)</f>
        <v>90</v>
      </c>
      <c r="D141" s="166">
        <f t="shared" ref="D141" si="16">SUM(D136:D140)</f>
        <v>0</v>
      </c>
      <c r="E141" s="166">
        <f>SUM(E136:E140)</f>
        <v>90</v>
      </c>
    </row>
    <row r="142" spans="1:5" ht="15" customHeight="1">
      <c r="A142" s="130"/>
      <c r="B142" s="163"/>
      <c r="C142" s="164"/>
      <c r="D142" s="165"/>
      <c r="E142" s="165"/>
    </row>
    <row r="143" spans="1:5" ht="15" customHeight="1">
      <c r="A143" s="325" t="s">
        <v>309</v>
      </c>
      <c r="B143" s="326"/>
      <c r="C143" s="202"/>
      <c r="D143" s="202"/>
      <c r="E143" s="233"/>
    </row>
    <row r="144" spans="1:5" ht="15" customHeight="1">
      <c r="A144" s="210">
        <v>1707001</v>
      </c>
      <c r="B144" s="211" t="s">
        <v>310</v>
      </c>
      <c r="C144" s="212">
        <f>SUM(D144:E144)</f>
        <v>0</v>
      </c>
      <c r="D144" s="234"/>
      <c r="E144" s="213"/>
    </row>
    <row r="145" spans="1:5" ht="15" customHeight="1">
      <c r="A145" s="60">
        <v>1707002</v>
      </c>
      <c r="B145" s="121" t="s">
        <v>311</v>
      </c>
      <c r="C145" s="75">
        <f t="shared" ref="C145:C147" si="17">SUM(D145:E145)</f>
        <v>0</v>
      </c>
      <c r="D145" s="232"/>
      <c r="E145" s="65"/>
    </row>
    <row r="146" spans="1:5" ht="15" customHeight="1">
      <c r="A146" s="60">
        <v>1707004</v>
      </c>
      <c r="B146" s="121" t="s">
        <v>312</v>
      </c>
      <c r="C146" s="75">
        <f t="shared" si="17"/>
        <v>0</v>
      </c>
      <c r="D146" s="232"/>
      <c r="E146" s="65"/>
    </row>
    <row r="147" spans="1:5" ht="15" customHeight="1">
      <c r="A147" s="61">
        <v>1707030</v>
      </c>
      <c r="B147" s="129" t="s">
        <v>313</v>
      </c>
      <c r="C147" s="131">
        <f t="shared" si="17"/>
        <v>0</v>
      </c>
      <c r="D147" s="235"/>
      <c r="E147" s="67"/>
    </row>
    <row r="148" spans="1:5" ht="15" customHeight="1">
      <c r="A148" s="62" t="s">
        <v>314</v>
      </c>
      <c r="B148" s="121" t="s">
        <v>315</v>
      </c>
      <c r="C148" s="195">
        <f>SUM(D148:E148)</f>
        <v>0</v>
      </c>
      <c r="D148" s="225"/>
      <c r="E148" s="196"/>
    </row>
    <row r="149" spans="1:5" ht="15" customHeight="1">
      <c r="A149" s="62" t="s">
        <v>316</v>
      </c>
      <c r="B149" s="121" t="s">
        <v>317</v>
      </c>
      <c r="C149" s="195">
        <f>SUM(D149:E149)</f>
        <v>0</v>
      </c>
      <c r="D149" s="225"/>
      <c r="E149" s="196"/>
    </row>
    <row r="150" spans="1:5" ht="15" customHeight="1">
      <c r="A150" s="62" t="s">
        <v>318</v>
      </c>
      <c r="B150" s="121" t="s">
        <v>319</v>
      </c>
      <c r="C150" s="195">
        <f>SUM(D150:E150)</f>
        <v>0</v>
      </c>
      <c r="D150" s="225"/>
      <c r="E150" s="196"/>
    </row>
    <row r="151" spans="1:5" ht="15" customHeight="1">
      <c r="A151" s="317" t="s">
        <v>67</v>
      </c>
      <c r="B151" s="318"/>
      <c r="C151" s="72">
        <f>SUM(C144:C150)</f>
        <v>0</v>
      </c>
      <c r="D151" s="227">
        <f t="shared" ref="D151:E151" si="18">SUM(D144:D150)</f>
        <v>0</v>
      </c>
      <c r="E151" s="72">
        <f t="shared" si="18"/>
        <v>0</v>
      </c>
    </row>
    <row r="152" spans="1:5" ht="15" customHeight="1">
      <c r="A152" s="130"/>
      <c r="B152" s="130"/>
      <c r="C152" s="132"/>
      <c r="D152" s="135"/>
      <c r="E152" s="135"/>
    </row>
    <row r="153" spans="1:5" ht="15" customHeight="1">
      <c r="A153" s="319" t="s">
        <v>320</v>
      </c>
      <c r="B153" s="320"/>
      <c r="C153" s="202"/>
      <c r="D153" s="202"/>
      <c r="E153" s="233"/>
    </row>
    <row r="154" spans="1:5" ht="15" customHeight="1">
      <c r="A154" s="61"/>
      <c r="B154" s="121" t="s">
        <v>321</v>
      </c>
      <c r="C154" s="195">
        <f>SUM(D154:E154)</f>
        <v>0</v>
      </c>
      <c r="D154" s="225"/>
      <c r="E154" s="196"/>
    </row>
    <row r="155" spans="1:5" ht="15" customHeight="1">
      <c r="A155" s="62" t="s">
        <v>322</v>
      </c>
      <c r="B155" s="121" t="s">
        <v>323</v>
      </c>
      <c r="C155" s="195">
        <f>SUM(D155:E155)</f>
        <v>0</v>
      </c>
      <c r="D155" s="225"/>
      <c r="E155" s="196"/>
    </row>
    <row r="156" spans="1:5" ht="15" customHeight="1">
      <c r="A156" s="61">
        <v>1801042</v>
      </c>
      <c r="B156" s="121" t="s">
        <v>324</v>
      </c>
      <c r="C156" s="75">
        <f>SUM(D156:E156)</f>
        <v>0</v>
      </c>
      <c r="D156" s="232"/>
      <c r="E156" s="65"/>
    </row>
    <row r="157" spans="1:5" ht="15" customHeight="1">
      <c r="A157" s="317" t="s">
        <v>67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>
      <c r="A158" s="130"/>
      <c r="B158" s="130"/>
      <c r="C158" s="132"/>
      <c r="D158" s="135"/>
      <c r="E158" s="135"/>
    </row>
    <row r="159" spans="1:5" ht="15" customHeight="1">
      <c r="A159" s="319" t="s">
        <v>325</v>
      </c>
      <c r="B159" s="320"/>
      <c r="C159" s="202"/>
      <c r="D159" s="202"/>
      <c r="E159" s="202"/>
    </row>
    <row r="160" spans="1:5" ht="15" customHeight="1">
      <c r="A160" s="61"/>
      <c r="B160" s="121" t="s">
        <v>326</v>
      </c>
      <c r="C160" s="214">
        <f>SUM(D160:E160)</f>
        <v>0</v>
      </c>
      <c r="D160" s="225"/>
      <c r="E160" s="230"/>
    </row>
    <row r="161" spans="1:5" ht="15" customHeight="1">
      <c r="A161" s="61">
        <v>1901022</v>
      </c>
      <c r="B161" s="129" t="s">
        <v>327</v>
      </c>
      <c r="C161" s="214">
        <f>SUM(D161:E161)</f>
        <v>0</v>
      </c>
      <c r="D161" s="256"/>
      <c r="E161" s="257"/>
    </row>
    <row r="162" spans="1:5" ht="15" customHeight="1">
      <c r="A162" s="317" t="s">
        <v>67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>
      <c r="A163" s="130"/>
      <c r="B163" s="130"/>
      <c r="C163" s="157"/>
      <c r="D163" s="158"/>
      <c r="E163" s="231"/>
    </row>
    <row r="164" spans="1:5" ht="24.95" customHeight="1">
      <c r="A164" s="319" t="s">
        <v>328</v>
      </c>
      <c r="B164" s="320"/>
      <c r="C164" s="202"/>
      <c r="D164" s="202"/>
      <c r="E164" s="202"/>
    </row>
    <row r="165" spans="1:5" ht="15" customHeight="1">
      <c r="A165" s="60"/>
      <c r="B165" s="128" t="s">
        <v>329</v>
      </c>
      <c r="C165" s="195">
        <f>SUM(D165:E165)</f>
        <v>5</v>
      </c>
      <c r="D165" s="260"/>
      <c r="E165" s="63">
        <v>5</v>
      </c>
    </row>
    <row r="166" spans="1:5" ht="15" customHeight="1">
      <c r="A166" s="60"/>
      <c r="B166" s="121" t="s">
        <v>330</v>
      </c>
      <c r="C166" s="195">
        <f>SUM(D166:E166)</f>
        <v>2</v>
      </c>
      <c r="D166" s="65"/>
      <c r="E166" s="65">
        <v>2</v>
      </c>
    </row>
    <row r="167" spans="1:5" ht="15" customHeight="1">
      <c r="A167" s="60">
        <v>2001015</v>
      </c>
      <c r="B167" s="211" t="s">
        <v>331</v>
      </c>
      <c r="C167" s="75">
        <f>SUM(D167:E167)</f>
        <v>2</v>
      </c>
      <c r="D167" s="65"/>
      <c r="E167" s="65">
        <v>2</v>
      </c>
    </row>
    <row r="168" spans="1:5" ht="15" customHeight="1">
      <c r="A168" s="60"/>
      <c r="B168" s="121" t="s">
        <v>332</v>
      </c>
      <c r="C168" s="75">
        <f t="shared" ref="C168:C169" si="19">SUM(D168:E168)</f>
        <v>15</v>
      </c>
      <c r="D168" s="65"/>
      <c r="E168" s="65">
        <v>15</v>
      </c>
    </row>
    <row r="169" spans="1:5" ht="15" customHeight="1">
      <c r="A169" s="215"/>
      <c r="B169" s="211" t="s">
        <v>333</v>
      </c>
      <c r="C169" s="75">
        <f t="shared" si="19"/>
        <v>0</v>
      </c>
      <c r="D169" s="216"/>
      <c r="E169" s="216">
        <v>0</v>
      </c>
    </row>
    <row r="170" spans="1:5" ht="11.25">
      <c r="A170" s="317" t="s">
        <v>67</v>
      </c>
      <c r="B170" s="318"/>
      <c r="C170" s="159">
        <f>SUM(C165:C169)</f>
        <v>24</v>
      </c>
      <c r="D170" s="159">
        <f t="shared" ref="D170:E170" si="20">SUM(D165:D169)</f>
        <v>0</v>
      </c>
      <c r="E170" s="159">
        <f t="shared" si="20"/>
        <v>24</v>
      </c>
    </row>
    <row r="171" spans="1:5" ht="15" customHeight="1">
      <c r="A171" s="143"/>
      <c r="B171" s="144"/>
      <c r="C171" s="146"/>
      <c r="D171" s="147"/>
      <c r="E171" s="255"/>
    </row>
    <row r="172" spans="1:5" ht="15" customHeight="1">
      <c r="A172" s="319" t="s">
        <v>334</v>
      </c>
      <c r="B172" s="320"/>
      <c r="C172" s="199"/>
      <c r="D172" s="199"/>
      <c r="E172" s="229"/>
    </row>
    <row r="173" spans="1:5" ht="15" customHeight="1">
      <c r="A173" s="59">
        <v>2101001</v>
      </c>
      <c r="B173" s="128" t="s">
        <v>335</v>
      </c>
      <c r="C173" s="74">
        <f>SUM(D173:E173)</f>
        <v>0</v>
      </c>
      <c r="D173" s="63"/>
      <c r="E173" s="247"/>
    </row>
    <row r="174" spans="1:5" ht="15" customHeight="1">
      <c r="A174" s="60">
        <v>2105004</v>
      </c>
      <c r="B174" s="121" t="s">
        <v>336</v>
      </c>
      <c r="C174" s="75">
        <f t="shared" ref="C174:C178" si="21">SUM(D174:E174)</f>
        <v>0</v>
      </c>
      <c r="D174" s="65"/>
      <c r="E174" s="248"/>
    </row>
    <row r="175" spans="1:5" ht="15" customHeight="1">
      <c r="A175" s="60">
        <v>2105005</v>
      </c>
      <c r="B175" s="121" t="s">
        <v>337</v>
      </c>
      <c r="C175" s="75">
        <f t="shared" si="21"/>
        <v>0</v>
      </c>
      <c r="D175" s="65"/>
      <c r="E175" s="248"/>
    </row>
    <row r="176" spans="1:5" ht="15" customHeight="1">
      <c r="A176" s="60">
        <v>2105006</v>
      </c>
      <c r="B176" s="121" t="s">
        <v>338</v>
      </c>
      <c r="C176" s="75">
        <f t="shared" si="21"/>
        <v>0</v>
      </c>
      <c r="D176" s="65"/>
      <c r="E176" s="248"/>
    </row>
    <row r="177" spans="1:5" ht="15" customHeight="1">
      <c r="A177" s="60">
        <v>2105007</v>
      </c>
      <c r="B177" s="121" t="s">
        <v>339</v>
      </c>
      <c r="C177" s="75">
        <f t="shared" si="21"/>
        <v>0</v>
      </c>
      <c r="D177" s="65"/>
      <c r="E177" s="248"/>
    </row>
    <row r="178" spans="1:5" ht="15" customHeight="1">
      <c r="A178" s="61">
        <v>2107003</v>
      </c>
      <c r="B178" s="129" t="s">
        <v>340</v>
      </c>
      <c r="C178" s="131">
        <f t="shared" si="21"/>
        <v>0</v>
      </c>
      <c r="D178" s="67"/>
      <c r="E178" s="249"/>
    </row>
    <row r="179" spans="1:5" ht="11.25">
      <c r="A179" s="317" t="s">
        <v>67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>
      <c r="A180" s="130"/>
      <c r="B180" s="130"/>
      <c r="C180" s="132"/>
      <c r="D180" s="132"/>
      <c r="E180" s="132"/>
    </row>
    <row r="181" spans="1:5" ht="15" customHeight="1">
      <c r="A181" s="319" t="s">
        <v>110</v>
      </c>
      <c r="B181" s="320"/>
      <c r="C181" s="126"/>
      <c r="D181" s="126"/>
      <c r="E181" s="228"/>
    </row>
    <row r="182" spans="1:5" ht="15" customHeight="1">
      <c r="A182" s="62"/>
      <c r="B182" s="128" t="s">
        <v>341</v>
      </c>
      <c r="C182" s="195">
        <f t="shared" ref="C182:C187" si="22">SUM(D182:E182)</f>
        <v>7</v>
      </c>
      <c r="D182" s="252"/>
      <c r="E182" s="196">
        <v>7</v>
      </c>
    </row>
    <row r="183" spans="1:5" ht="15" customHeight="1">
      <c r="A183" s="217"/>
      <c r="B183" s="121" t="s">
        <v>342</v>
      </c>
      <c r="C183" s="195">
        <f t="shared" si="22"/>
        <v>0</v>
      </c>
      <c r="D183" s="253"/>
      <c r="E183" s="196"/>
    </row>
    <row r="184" spans="1:5" ht="15" customHeight="1">
      <c r="A184" s="60" t="s">
        <v>343</v>
      </c>
      <c r="B184" s="121" t="s">
        <v>344</v>
      </c>
      <c r="C184" s="195">
        <f t="shared" si="22"/>
        <v>63</v>
      </c>
      <c r="D184" s="225"/>
      <c r="E184" s="196">
        <v>63</v>
      </c>
    </row>
    <row r="185" spans="1:5" ht="15" customHeight="1">
      <c r="A185" s="62"/>
      <c r="B185" s="129" t="s">
        <v>345</v>
      </c>
      <c r="C185" s="195">
        <f t="shared" si="22"/>
        <v>8</v>
      </c>
      <c r="D185" s="225"/>
      <c r="E185" s="196">
        <v>8</v>
      </c>
    </row>
    <row r="186" spans="1:5" ht="15" customHeight="1">
      <c r="A186" s="62"/>
      <c r="B186" s="129" t="s">
        <v>346</v>
      </c>
      <c r="C186" s="195">
        <f t="shared" si="22"/>
        <v>0</v>
      </c>
      <c r="D186" s="225"/>
      <c r="E186" s="196"/>
    </row>
    <row r="187" spans="1:5" ht="15" customHeight="1">
      <c r="A187" s="218"/>
      <c r="B187" s="129" t="s">
        <v>347</v>
      </c>
      <c r="C187" s="214">
        <f t="shared" si="22"/>
        <v>0</v>
      </c>
      <c r="D187" s="253"/>
      <c r="E187" s="254"/>
    </row>
    <row r="188" spans="1:5" ht="15" customHeight="1">
      <c r="A188" s="62"/>
      <c r="B188" s="129" t="s">
        <v>348</v>
      </c>
      <c r="C188" s="195">
        <f t="shared" ref="C188:C198" si="23">SUM(D188:E188)</f>
        <v>0</v>
      </c>
      <c r="D188" s="225"/>
      <c r="E188" s="196"/>
    </row>
    <row r="189" spans="1:5" ht="15" customHeight="1">
      <c r="A189" s="62" t="s">
        <v>349</v>
      </c>
      <c r="B189" s="121" t="s">
        <v>350</v>
      </c>
      <c r="C189" s="195">
        <f t="shared" si="23"/>
        <v>0</v>
      </c>
      <c r="D189" s="225"/>
      <c r="E189" s="196"/>
    </row>
    <row r="190" spans="1:5" ht="15" customHeight="1">
      <c r="A190" s="62" t="s">
        <v>351</v>
      </c>
      <c r="B190" s="121" t="s">
        <v>352</v>
      </c>
      <c r="C190" s="195">
        <f t="shared" si="23"/>
        <v>0</v>
      </c>
      <c r="D190" s="225"/>
      <c r="E190" s="196"/>
    </row>
    <row r="191" spans="1:5" ht="15" customHeight="1">
      <c r="A191" s="62" t="s">
        <v>353</v>
      </c>
      <c r="B191" s="121" t="s">
        <v>354</v>
      </c>
      <c r="C191" s="195">
        <f t="shared" si="23"/>
        <v>0</v>
      </c>
      <c r="D191" s="225"/>
      <c r="E191" s="196"/>
    </row>
    <row r="192" spans="1:5" ht="15" customHeight="1">
      <c r="A192" s="62" t="s">
        <v>355</v>
      </c>
      <c r="B192" s="121" t="s">
        <v>356</v>
      </c>
      <c r="C192" s="195">
        <f t="shared" si="23"/>
        <v>0</v>
      </c>
      <c r="D192" s="225"/>
      <c r="E192" s="196"/>
    </row>
    <row r="193" spans="1:5" ht="15" customHeight="1">
      <c r="A193" s="62" t="s">
        <v>357</v>
      </c>
      <c r="B193" s="121" t="s">
        <v>358</v>
      </c>
      <c r="C193" s="195">
        <f t="shared" si="23"/>
        <v>0</v>
      </c>
      <c r="D193" s="225"/>
      <c r="E193" s="196"/>
    </row>
    <row r="194" spans="1:5" ht="15" customHeight="1">
      <c r="A194" s="62" t="s">
        <v>359</v>
      </c>
      <c r="B194" s="121" t="s">
        <v>360</v>
      </c>
      <c r="C194" s="195">
        <f t="shared" si="23"/>
        <v>0</v>
      </c>
      <c r="D194" s="225"/>
      <c r="E194" s="196"/>
    </row>
    <row r="195" spans="1:5" ht="15" customHeight="1">
      <c r="A195" s="62" t="s">
        <v>361</v>
      </c>
      <c r="B195" s="121" t="s">
        <v>362</v>
      </c>
      <c r="C195" s="195">
        <f t="shared" si="23"/>
        <v>157</v>
      </c>
      <c r="D195" s="225"/>
      <c r="E195" s="196">
        <v>157</v>
      </c>
    </row>
    <row r="196" spans="1:5" ht="15" customHeight="1">
      <c r="A196" s="62" t="s">
        <v>363</v>
      </c>
      <c r="B196" s="121" t="s">
        <v>364</v>
      </c>
      <c r="C196" s="195">
        <f t="shared" si="23"/>
        <v>5</v>
      </c>
      <c r="D196" s="225"/>
      <c r="E196" s="196">
        <v>5</v>
      </c>
    </row>
    <row r="197" spans="1:5" ht="15" customHeight="1">
      <c r="A197" s="62" t="s">
        <v>365</v>
      </c>
      <c r="B197" s="121" t="s">
        <v>366</v>
      </c>
      <c r="C197" s="195">
        <f t="shared" si="23"/>
        <v>158</v>
      </c>
      <c r="D197" s="225"/>
      <c r="E197" s="196">
        <v>158</v>
      </c>
    </row>
    <row r="198" spans="1:5" ht="15" customHeight="1">
      <c r="A198" s="62" t="s">
        <v>367</v>
      </c>
      <c r="B198" s="192" t="s">
        <v>368</v>
      </c>
      <c r="C198" s="195">
        <f t="shared" si="23"/>
        <v>12</v>
      </c>
      <c r="D198" s="226"/>
      <c r="E198" s="196">
        <v>12</v>
      </c>
    </row>
    <row r="199" spans="1:5" ht="15" customHeight="1">
      <c r="A199" s="317" t="s">
        <v>67</v>
      </c>
      <c r="B199" s="318"/>
      <c r="C199" s="72">
        <f>SUM(C182:C198)</f>
        <v>410</v>
      </c>
      <c r="D199" s="227">
        <f t="shared" ref="D199:E199" si="24">SUM(D182:D198)</f>
        <v>0</v>
      </c>
      <c r="E199" s="72">
        <f t="shared" si="24"/>
        <v>410</v>
      </c>
    </row>
    <row r="200" spans="1:5" ht="15" customHeight="1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tabSelected="1" zoomScaleNormal="100" workbookViewId="0">
      <selection activeCell="B1" sqref="B1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369</v>
      </c>
      <c r="C2" s="16" t="s">
        <v>370</v>
      </c>
      <c r="D2" s="17" t="s">
        <v>371</v>
      </c>
    </row>
    <row r="3" spans="2:4" ht="19.5" customHeight="1">
      <c r="B3" s="25" t="s">
        <v>372</v>
      </c>
      <c r="C3" s="24" t="s">
        <v>373</v>
      </c>
      <c r="D3" s="19">
        <f>+NOMBRE!AG2</f>
        <v>0</v>
      </c>
    </row>
    <row r="4" spans="2:4" ht="19.5" customHeight="1">
      <c r="B4" s="25" t="s">
        <v>372</v>
      </c>
      <c r="C4" s="24" t="s">
        <v>374</v>
      </c>
      <c r="D4" s="19">
        <f>+NOMBRE!AG3</f>
        <v>0</v>
      </c>
    </row>
    <row r="5" spans="2:4" ht="19.5" customHeight="1">
      <c r="B5" s="25" t="s">
        <v>372</v>
      </c>
      <c r="C5" s="24" t="s">
        <v>375</v>
      </c>
      <c r="D5" s="19">
        <f>+NOMBRE!AG6</f>
        <v>0</v>
      </c>
    </row>
    <row r="6" spans="2:4" ht="31.5" customHeight="1" thickBot="1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>
      <c r="B7" s="20"/>
      <c r="C7" s="21" t="s">
        <v>378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379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topLeftCell="A10" zoomScaleNormal="100" workbookViewId="0"/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>
      <c r="A2" s="152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ENERO  / AÑO:  2025</v>
      </c>
    </row>
    <row r="3" spans="1:14" ht="20.25" customHeight="1"/>
    <row r="4" spans="1:14" ht="22.5" customHeight="1"/>
    <row r="5" spans="1:14" ht="49.5" customHeight="1">
      <c r="B5" s="155" t="s">
        <v>381</v>
      </c>
      <c r="E5" s="149"/>
      <c r="F5" s="150"/>
      <c r="G5" s="150"/>
      <c r="H5" s="151"/>
    </row>
    <row r="6" spans="1:14" ht="27.75" customHeight="1">
      <c r="B6" s="156" t="s">
        <v>382</v>
      </c>
    </row>
    <row r="7" spans="1:14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2025-02-05T19:49:19Z</dcterms:modified>
  <cp:category/>
  <cp:contentStatus/>
</cp:coreProperties>
</file>