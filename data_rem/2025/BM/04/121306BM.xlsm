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NTA ROSA\ABRIL\"/>
    </mc:Choice>
  </mc:AlternateContent>
  <xr:revisionPtr revIDLastSave="0" documentId="13_ncr:1_{C8EC0332-4033-48D4-BC61-E9650DA3D62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tc={528457F8-096B-4C87-8C25-7C432CB64EF8}</author>
  </authors>
  <commentList>
    <comment ref="A91" authorId="0" shapeId="0" xr:uid="{528457F8-096B-4C87-8C25-7C432CB64EF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hubieron?</t>
      </text>
    </comment>
  </commentList>
</comments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<sst xmlns="http://schemas.openxmlformats.org/spreadsheetml/2006/main" count="452" uniqueCount="397">
  <si>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</si>
  <si>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</si>
  <si>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</si>
  <si>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</si>
  <si>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</si>
  <si>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</si>
  <si>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</si>
  <si>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</si>
  <si>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</si>
  <si>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</si>
  <si>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</si>
  <si>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</si>
  <si>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DRA.MARISA VILLALOBOS CASTILLOS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</si>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</sst>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434DA2FE-0E8E-33D8-ED8D-4BBADC9B3FF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jandra Gacitúa" id="{621362C4-6250-486F-B489-6AAA8C90CA2C}" userId="S::alejandra.gacitua@temuco.cl::af40d94b-245c-462d-8fef-828624f60d1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91" dT="2025-05-06T13:08:02.78" personId="{621362C4-6250-486F-B489-6AAA8C90CA2C}" id="{528457F8-096B-4C87-8C25-7C432CB64EF8}">
    <text>hubieron?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6" sqref="B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24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7" zoomScaleNormal="100" workbookViewId="0">
      <selection activeCell="C56" sqref="C5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9</v>
      </c>
      <c r="E21" s="77">
        <f>SUM(E22+E23)</f>
        <v>0</v>
      </c>
      <c r="F21" s="77">
        <f>SUM(F22+F23)</f>
        <v>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9</v>
      </c>
      <c r="E23" s="78">
        <f>SUM(BM18A!D114:D118)</f>
        <v>0</v>
      </c>
      <c r="F23" s="80">
        <f>SUM(BM18A!E114:E118)</f>
        <v>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9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153</v>
      </c>
      <c r="C43" s="83">
        <f>BM18A!D158</f>
        <v>0</v>
      </c>
      <c r="D43" s="83">
        <f>BM18A!E158</f>
        <v>153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6</v>
      </c>
      <c r="C45" s="79">
        <f>SUM(BM18A!D132:D139)</f>
        <v>0</v>
      </c>
      <c r="D45" s="79">
        <f>SUM(BM18A!E132:E139)</f>
        <v>6</v>
      </c>
    </row>
    <row r="46" spans="1:6" ht="16.5" customHeight="1" x14ac:dyDescent="0.2">
      <c r="A46" s="90" t="s">
        <v>105</v>
      </c>
      <c r="B46" s="79">
        <f t="shared" si="4"/>
        <v>292</v>
      </c>
      <c r="C46" s="83">
        <f>BM18A!D148</f>
        <v>0</v>
      </c>
      <c r="D46" s="83">
        <f>BM18A!E148</f>
        <v>292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12</v>
      </c>
      <c r="C48" s="83">
        <f>BM18A!D169</f>
        <v>0</v>
      </c>
      <c r="D48" s="83">
        <f>BM18A!E169</f>
        <v>12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234</v>
      </c>
      <c r="C50" s="79">
        <f>BM18A!D177</f>
        <v>0</v>
      </c>
      <c r="D50" s="79">
        <f>BM18A!E177</f>
        <v>234</v>
      </c>
    </row>
    <row r="51" spans="1:4" ht="16.5" customHeight="1" x14ac:dyDescent="0.2">
      <c r="A51" s="223" t="s">
        <v>110</v>
      </c>
      <c r="B51" s="90">
        <f t="shared" si="4"/>
        <v>6377</v>
      </c>
      <c r="C51" s="81">
        <f>BM18A!D206</f>
        <v>0</v>
      </c>
      <c r="D51" s="81">
        <f>BM18A!E206</f>
        <v>6377</v>
      </c>
    </row>
    <row r="52" spans="1:4" ht="17.25" customHeight="1" x14ac:dyDescent="0.2">
      <c r="A52" s="91" t="s">
        <v>67</v>
      </c>
      <c r="B52" s="77">
        <f>SUM(B42:B51)</f>
        <v>7074</v>
      </c>
      <c r="C52" s="77">
        <f>SUM(C42:C51)</f>
        <v>0</v>
      </c>
      <c r="D52" s="77">
        <f>SUM(D42:D51)</f>
        <v>7074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11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57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14252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2" zoomScaleNormal="100" workbookViewId="0">
      <selection activeCell="E189" sqref="E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9</v>
      </c>
      <c r="D114" s="65"/>
      <c r="E114" s="114">
        <v>9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6</v>
      </c>
      <c r="D135" s="189"/>
      <c r="E135" s="255">
        <v>6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6</v>
      </c>
      <c r="D140" s="72">
        <f t="shared" ref="D140:F140" si="15">SUM(D131:D139)</f>
        <v>0</v>
      </c>
      <c r="E140" s="256">
        <f t="shared" si="15"/>
        <v>6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292</v>
      </c>
      <c r="D143" s="194"/>
      <c r="E143" s="247">
        <v>292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292</v>
      </c>
      <c r="D148" s="159">
        <f t="shared" ref="D148" si="16">SUM(D143:D147)</f>
        <v>0</v>
      </c>
      <c r="E148" s="263">
        <f>SUM(E143:E147)</f>
        <v>292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46</v>
      </c>
      <c r="D151" s="237"/>
      <c r="E151" s="113">
        <v>46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36</v>
      </c>
      <c r="D152" s="213"/>
      <c r="E152" s="114">
        <v>36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20</v>
      </c>
      <c r="D154" s="214"/>
      <c r="E154" s="115">
        <v>20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49</v>
      </c>
      <c r="D157" s="211"/>
      <c r="E157" s="262">
        <v>49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153</v>
      </c>
      <c r="D158" s="212">
        <f t="shared" ref="D158:F158" si="18">SUM(D151:D157)</f>
        <v>0</v>
      </c>
      <c r="E158" s="256">
        <f t="shared" si="18"/>
        <v>153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12</v>
      </c>
      <c r="D167" s="240"/>
      <c r="E167" s="266">
        <v>12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12</v>
      </c>
      <c r="D169" s="228">
        <f>SUM(D167:D168)</f>
        <v>0</v>
      </c>
      <c r="E169" s="268">
        <f>SUM(E167:E168)</f>
        <v>12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10</v>
      </c>
      <c r="D172" s="242"/>
      <c r="E172" s="113">
        <v>10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17</v>
      </c>
      <c r="D173" s="65"/>
      <c r="E173" s="114">
        <v>17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5</v>
      </c>
      <c r="D174" s="65"/>
      <c r="E174" s="114">
        <v>5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151</v>
      </c>
      <c r="D175" s="65"/>
      <c r="E175" s="114">
        <v>151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51</v>
      </c>
      <c r="D176" s="201"/>
      <c r="E176" s="270">
        <v>51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234</v>
      </c>
      <c r="D177" s="155">
        <f t="shared" ref="D177:E177" si="20">SUM(D172:D176)</f>
        <v>0</v>
      </c>
      <c r="E177" s="271">
        <f t="shared" si="20"/>
        <v>234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1153</v>
      </c>
      <c r="D189" s="225"/>
      <c r="E189" s="266">
        <v>1153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360</v>
      </c>
      <c r="D191" s="210"/>
      <c r="E191" s="255">
        <v>360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488</v>
      </c>
      <c r="D192" s="210"/>
      <c r="E192" s="255">
        <v>488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143</v>
      </c>
      <c r="D193" s="210"/>
      <c r="E193" s="255">
        <v>143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196</v>
      </c>
      <c r="D194" s="226"/>
      <c r="E194" s="277">
        <v>196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1572</v>
      </c>
      <c r="D195" s="210"/>
      <c r="E195" s="255">
        <v>1572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2</v>
      </c>
      <c r="D197" s="210"/>
      <c r="E197" s="255">
        <v>2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123</v>
      </c>
      <c r="D198" s="210"/>
      <c r="E198" s="255">
        <v>123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1033</v>
      </c>
      <c r="D202" s="210"/>
      <c r="E202" s="255">
        <v>1033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28</v>
      </c>
      <c r="D203" s="210"/>
      <c r="E203" s="255">
        <v>28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1225</v>
      </c>
      <c r="D204" s="210"/>
      <c r="E204" s="255">
        <v>1225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53</v>
      </c>
      <c r="D205" s="211"/>
      <c r="E205" s="255">
        <v>53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6377</v>
      </c>
      <c r="D206" s="212">
        <f t="shared" ref="D206:F206" si="24">SUM(D189:D205)</f>
        <v>0</v>
      </c>
      <c r="E206" s="256">
        <f t="shared" si="24"/>
        <v>6377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4" sqref="D4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2025-05-08T12:16:19Z</dcterms:modified>
  <cp:category/>
  <cp:contentStatus/>
</cp:coreProperties>
</file>