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30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E2A17F84-9376-4419-B524-6429E710680F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39285" yWindow="840" windowWidth="19245" windowHeight="11445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<sst xmlns="http://schemas.openxmlformats.org/spreadsheetml/2006/main" count="452" uniqueCount="397">
  <si>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</si>
  <si>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</si>
  <si>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</si>
  <si>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</si>
  <si>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</si>
  <si>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POSTA DE SALUD RURAL CONOCO</t>
  </si>
  <si>
    <t>MES:</t>
  </si>
  <si>
    <t>ABRIL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</si>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</sst>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I14" sqref="I14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4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7</v>
      </c>
      <c r="AB14" s="35" t="s">
        <v>25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3" zoomScaleNormal="100" workbookViewId="0"/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POSTA DE SALUD RURAL CONOCO  ( 121463 )</v>
      </c>
    </row>
    <row r="4" spans="1:6">
      <c r="A4" s="50" t="str">
        <f>CONCATENATE("MES: ",NOMBRE!B6,"  ","( ",NOMBRE!C6,NOMBRE!D6," )")</f>
        <v>MES: ABRIL  ( 04 )</v>
      </c>
    </row>
    <row r="5" spans="1:6">
      <c r="A5" s="50" t="str">
        <f>CONCATENATE("AÑO: ",NOMBRE!B7)</f>
        <v>AÑO: 2025</v>
      </c>
    </row>
    <row r="8" spans="1:6" ht="29.25" customHeight="1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>
      <c r="A9" s="292"/>
      <c r="B9" s="292"/>
      <c r="C9" s="292"/>
      <c r="D9" s="292"/>
      <c r="E9" s="292"/>
      <c r="F9" s="292"/>
    </row>
    <row r="10" spans="1:6" ht="26.25" customHeight="1">
      <c r="A10" s="300" t="s">
        <v>65</v>
      </c>
      <c r="B10" s="300"/>
      <c r="C10" s="300"/>
    </row>
    <row r="11" spans="1:6" ht="12.75" customHeight="1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>
      <c r="A13" s="43" t="s">
        <v>71</v>
      </c>
      <c r="B13" s="298"/>
      <c r="C13" s="299"/>
      <c r="D13" s="76">
        <f>SUM(E13:F13)</f>
        <v>1</v>
      </c>
      <c r="E13" s="77">
        <f>SUM(E14:E20)</f>
        <v>0</v>
      </c>
      <c r="F13" s="77">
        <f>SUM(F14:F20)</f>
        <v>1</v>
      </c>
    </row>
    <row r="14" spans="1:6" ht="17.25" customHeight="1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7" t="s">
        <v>85</v>
      </c>
      <c r="C20" s="318"/>
      <c r="D20" s="78">
        <f t="shared" si="1"/>
        <v>1</v>
      </c>
      <c r="E20" s="78">
        <f>BM18A!D88</f>
        <v>0</v>
      </c>
      <c r="F20" s="78">
        <f>BM18A!E88</f>
        <v>1</v>
      </c>
    </row>
    <row r="21" spans="1:6" ht="17.25" customHeight="1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294"/>
      <c r="B25" s="310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>
      <c r="A41" s="297"/>
      <c r="B41" s="324"/>
      <c r="C41" s="295" t="s">
        <v>70</v>
      </c>
      <c r="D41" s="297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16</v>
      </c>
      <c r="C46" s="83">
        <f>BM18A!D148</f>
        <v>0</v>
      </c>
      <c r="D46" s="83">
        <f>BM18A!E148</f>
        <v>16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1</v>
      </c>
      <c r="C50" s="79">
        <f>BM18A!D177</f>
        <v>0</v>
      </c>
      <c r="D50" s="79">
        <f>BM18A!E177</f>
        <v>1</v>
      </c>
    </row>
    <row r="51" spans="1:4" ht="16.5" customHeight="1">
      <c r="A51" s="223" t="s">
        <v>110</v>
      </c>
      <c r="B51" s="90">
        <f t="shared" si="4"/>
        <v>115</v>
      </c>
      <c r="C51" s="81">
        <f>BM18A!D206</f>
        <v>0</v>
      </c>
      <c r="D51" s="81">
        <f>BM18A!E206</f>
        <v>115</v>
      </c>
    </row>
    <row r="52" spans="1:4" ht="17.25" customHeight="1">
      <c r="A52" s="91" t="s">
        <v>67</v>
      </c>
      <c r="B52" s="77">
        <f>SUM(B42:B51)</f>
        <v>132</v>
      </c>
      <c r="C52" s="77">
        <f>SUM(C42:C51)</f>
        <v>0</v>
      </c>
      <c r="D52" s="77">
        <f>SUM(D42:D51)</f>
        <v>132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32" t="s">
        <v>112</v>
      </c>
      <c r="B55" s="330" t="s">
        <v>67</v>
      </c>
    </row>
    <row r="56" spans="1:4">
      <c r="A56" s="333"/>
      <c r="B56" s="33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>
      <c r="A60" s="325" t="s">
        <v>118</v>
      </c>
      <c r="B60" s="208" t="s">
        <v>119</v>
      </c>
      <c r="C60" s="87"/>
      <c r="D60" s="84"/>
    </row>
    <row r="61" spans="1:4" ht="16.5" customHeight="1">
      <c r="A61" s="326"/>
      <c r="B61" s="12" t="s">
        <v>120</v>
      </c>
      <c r="C61" s="88"/>
      <c r="D61" s="85"/>
    </row>
    <row r="62" spans="1:4" ht="16.5" customHeight="1">
      <c r="A62" s="327"/>
      <c r="B62" s="13" t="s">
        <v>121</v>
      </c>
      <c r="C62" s="89"/>
      <c r="D62" s="86"/>
    </row>
    <row r="96" spans="1:1" hidden="1">
      <c r="A96" s="215">
        <f>SUM(D13:D37,B42:B52,B57,C60:C62)</f>
        <v>266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78" zoomScaleNormal="100" workbookViewId="0">
      <selection activeCell="I174" sqref="I174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POSTA DE SALUD RURAL CONOCO  ( 121463 )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ABRIL  ( 04 )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61"/>
      <c r="B6" s="361"/>
      <c r="C6" s="361"/>
      <c r="U6" s="54"/>
    </row>
    <row r="7" spans="1:21" s="53" customFormat="1" ht="36.75" customHeight="1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>
      <c r="A11" s="368"/>
      <c r="B11" s="352"/>
      <c r="C11" s="342"/>
      <c r="D11" s="352"/>
      <c r="E11" s="358"/>
      <c r="F11" s="352"/>
    </row>
    <row r="12" spans="1:21" ht="15" customHeight="1">
      <c r="A12" s="364" t="s">
        <v>124</v>
      </c>
      <c r="B12" s="364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64" t="s">
        <v>139</v>
      </c>
      <c r="B22" s="364"/>
      <c r="C22" s="365"/>
      <c r="D22" s="366"/>
      <c r="E22" s="366"/>
      <c r="F22" s="367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8" t="s">
        <v>180</v>
      </c>
      <c r="B45" s="339"/>
      <c r="C45" s="370"/>
      <c r="D45" s="370"/>
      <c r="E45" s="370"/>
      <c r="F45" s="37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8" t="s">
        <v>79</v>
      </c>
      <c r="B51" s="339"/>
      <c r="C51" s="372"/>
      <c r="D51" s="372"/>
      <c r="E51" s="372"/>
      <c r="F51" s="373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8" t="s">
        <v>81</v>
      </c>
      <c r="B56" s="339"/>
      <c r="C56" s="374"/>
      <c r="D56" s="372"/>
      <c r="E56" s="372"/>
      <c r="F56" s="373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75" t="s">
        <v>223</v>
      </c>
      <c r="B75" s="376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8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1</v>
      </c>
      <c r="D83" s="65"/>
      <c r="E83" s="114">
        <v>1</v>
      </c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45" t="s">
        <v>67</v>
      </c>
      <c r="B88" s="346"/>
      <c r="C88" s="160">
        <f>SUM(C81:C87)</f>
        <v>1</v>
      </c>
      <c r="D88" s="156">
        <f>SUM(D81:D87)</f>
        <v>0</v>
      </c>
      <c r="E88" s="157">
        <f>SUM(E81:E87)</f>
        <v>1</v>
      </c>
      <c r="F88" s="156">
        <f>SUM(F81:F87)</f>
        <v>0</v>
      </c>
    </row>
    <row r="89" spans="1:6" ht="15" customHeight="1">
      <c r="A89" s="345" t="s">
        <v>243</v>
      </c>
      <c r="B89" s="346"/>
      <c r="C89" s="160">
        <f>+C20+C43+C49+C54+C73+C78+C88</f>
        <v>1</v>
      </c>
      <c r="D89" s="156">
        <f>+D20+D43+D49+D54+D73+D78+D88</f>
        <v>0</v>
      </c>
      <c r="E89" s="157">
        <f>+E20+E43+E49+E54+E73+E78+E88</f>
        <v>1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59" t="s">
        <v>244</v>
      </c>
      <c r="B91" s="360"/>
      <c r="C91" s="349"/>
      <c r="D91" s="349"/>
      <c r="E91" s="349"/>
      <c r="F91" s="350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43" t="s">
        <v>299</v>
      </c>
      <c r="B120" s="344"/>
      <c r="C120" s="344"/>
      <c r="D120" s="344"/>
      <c r="E120" s="344"/>
      <c r="F120" s="344"/>
    </row>
    <row r="121" spans="1:6" ht="14.1" customHeight="1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>
      <c r="A122" s="352"/>
      <c r="B122" s="356"/>
      <c r="C122" s="352"/>
      <c r="D122" s="352"/>
      <c r="E122" s="358"/>
      <c r="F122" s="342"/>
    </row>
    <row r="123" spans="1:6" ht="15" customHeight="1">
      <c r="A123" s="338" t="s">
        <v>300</v>
      </c>
      <c r="B123" s="339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8" t="s">
        <v>305</v>
      </c>
      <c r="B130" s="339"/>
      <c r="C130" s="334"/>
      <c r="D130" s="335"/>
      <c r="E130" s="335"/>
      <c r="F130" s="336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8" t="s">
        <v>315</v>
      </c>
      <c r="B142" s="339"/>
      <c r="C142" s="334"/>
      <c r="D142" s="335"/>
      <c r="E142" s="335"/>
      <c r="F142" s="336"/>
    </row>
    <row r="143" spans="1:6" ht="15" customHeight="1">
      <c r="A143" s="59" t="s">
        <v>316</v>
      </c>
      <c r="B143" s="128" t="s">
        <v>317</v>
      </c>
      <c r="C143" s="70">
        <f>SUM(D143:E143)</f>
        <v>6</v>
      </c>
      <c r="D143" s="194"/>
      <c r="E143" s="247">
        <v>6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10</v>
      </c>
      <c r="D145" s="196"/>
      <c r="E145" s="261">
        <v>10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45" t="s">
        <v>67</v>
      </c>
      <c r="B148" s="346"/>
      <c r="C148" s="159">
        <f>SUM(C143:C147)</f>
        <v>16</v>
      </c>
      <c r="D148" s="159">
        <f t="shared" ref="D148" si="16">SUM(D143:D147)</f>
        <v>0</v>
      </c>
      <c r="E148" s="263">
        <f>SUM(E143:E147)</f>
        <v>16</v>
      </c>
      <c r="F148" s="259">
        <f>SUM(F143:F147)</f>
        <v>0</v>
      </c>
    </row>
    <row r="149" spans="1:6" ht="15" customHeight="1">
      <c r="A149" s="130"/>
      <c r="B149" s="337"/>
      <c r="C149" s="337"/>
      <c r="D149" s="337"/>
      <c r="E149" s="337"/>
      <c r="F149" s="337"/>
    </row>
    <row r="150" spans="1:6" ht="15" customHeight="1">
      <c r="A150" s="353" t="s">
        <v>323</v>
      </c>
      <c r="B150" s="354"/>
      <c r="C150" s="345"/>
      <c r="D150" s="347"/>
      <c r="E150" s="347"/>
      <c r="F150" s="34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8" t="s">
        <v>334</v>
      </c>
      <c r="B160" s="339"/>
      <c r="C160" s="345"/>
      <c r="D160" s="347"/>
      <c r="E160" s="347"/>
      <c r="F160" s="34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8" t="s">
        <v>339</v>
      </c>
      <c r="B166" s="339"/>
      <c r="C166" s="345"/>
      <c r="D166" s="347"/>
      <c r="E166" s="347"/>
      <c r="F166" s="34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48"/>
      <c r="B170" s="348"/>
      <c r="C170" s="348"/>
      <c r="D170" s="348"/>
      <c r="E170" s="348"/>
      <c r="F170" s="348"/>
    </row>
    <row r="171" spans="1:6" ht="15" customHeight="1">
      <c r="A171" s="338" t="s">
        <v>342</v>
      </c>
      <c r="B171" s="339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0</v>
      </c>
      <c r="D172" s="242"/>
      <c r="E172" s="113"/>
      <c r="F172" s="264"/>
    </row>
    <row r="173" spans="1:6" ht="15" customHeight="1">
      <c r="A173" s="60"/>
      <c r="B173" s="121" t="s">
        <v>344</v>
      </c>
      <c r="C173" s="188">
        <f>SUM(D173:E173)</f>
        <v>0</v>
      </c>
      <c r="D173" s="65"/>
      <c r="E173" s="114"/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1</v>
      </c>
      <c r="D174" s="65"/>
      <c r="E174" s="114">
        <v>1</v>
      </c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0</v>
      </c>
      <c r="D175" s="65"/>
      <c r="E175" s="114"/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>
      <c r="A177" s="345" t="s">
        <v>67</v>
      </c>
      <c r="B177" s="346"/>
      <c r="C177" s="155">
        <f>SUM(C172:C176)</f>
        <v>1</v>
      </c>
      <c r="D177" s="155">
        <f t="shared" ref="D177:E177" si="20">SUM(D172:D176)</f>
        <v>0</v>
      </c>
      <c r="E177" s="271">
        <f t="shared" si="20"/>
        <v>1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8" t="s">
        <v>348</v>
      </c>
      <c r="B179" s="339"/>
      <c r="C179" s="338"/>
      <c r="D179" s="339"/>
      <c r="E179" s="339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37"/>
      <c r="B187" s="337"/>
      <c r="C187" s="337"/>
      <c r="D187" s="337"/>
      <c r="E187" s="337"/>
      <c r="F187" s="337"/>
    </row>
    <row r="188" spans="1:6" ht="15" customHeight="1">
      <c r="A188" s="338" t="s">
        <v>110</v>
      </c>
      <c r="B188" s="339"/>
      <c r="C188" s="334"/>
      <c r="D188" s="335"/>
      <c r="E188" s="335"/>
      <c r="F188" s="336"/>
    </row>
    <row r="189" spans="1:6" ht="15" customHeight="1">
      <c r="A189" s="62"/>
      <c r="B189" s="128" t="s">
        <v>355</v>
      </c>
      <c r="C189" s="188">
        <f t="shared" ref="C189:C194" si="22">SUM(D189:E189)</f>
        <v>17</v>
      </c>
      <c r="D189" s="225"/>
      <c r="E189" s="266">
        <v>17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29</v>
      </c>
      <c r="D191" s="210"/>
      <c r="E191" s="255">
        <v>29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/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37</v>
      </c>
      <c r="D202" s="210"/>
      <c r="E202" s="255">
        <v>37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32</v>
      </c>
      <c r="D204" s="210"/>
      <c r="E204" s="255">
        <v>32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0</v>
      </c>
      <c r="D205" s="211"/>
      <c r="E205" s="255"/>
      <c r="F205" s="258"/>
    </row>
    <row r="206" spans="1:6" ht="15" customHeight="1">
      <c r="A206" s="345" t="s">
        <v>67</v>
      </c>
      <c r="B206" s="346"/>
      <c r="C206" s="72">
        <f>SUM(C189:C205)</f>
        <v>115</v>
      </c>
      <c r="D206" s="212">
        <f t="shared" ref="D206:F206" si="24">SUM(D189:D205)</f>
        <v>0</v>
      </c>
      <c r="E206" s="256">
        <f t="shared" si="24"/>
        <v>115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POSTA DE SALUD RURAL CONOCO - 121463 
   / MES:  ABRIL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2025-05-07T20:29:25Z</dcterms:modified>
  <cp:category/>
  <cp:contentStatus/>
</cp:coreProperties>
</file>