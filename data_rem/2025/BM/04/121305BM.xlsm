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5 VILLA ALEGRE\ABRIL\"/>
    </mc:Choice>
  </mc:AlternateContent>
  <xr:revisionPtr revIDLastSave="0" documentId="13_ncr:1_{A9D7B2B3-F40A-406A-85EA-A30BFE1D8F29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<sst xmlns="http://schemas.openxmlformats.org/spreadsheetml/2006/main" count="452" uniqueCount="397">
  <si>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</si>
  <si>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</si>
  <si>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</si>
  <si>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</si>
  <si>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</si>
  <si>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VILLA ALEGRE</t>
  </si>
  <si>
    <t>MES:</t>
  </si>
  <si>
    <t>ABRIL</t>
  </si>
  <si>
    <t>AÑO:</t>
  </si>
  <si>
    <t xml:space="preserve"> </t>
  </si>
  <si>
    <t>Versión 1.2 Marzo 2025</t>
  </si>
  <si>
    <t>Director/a Servicio de Salud o Director/a Establecimiento</t>
  </si>
  <si>
    <t>SR. RAÚL GARCÉS ZÚÑIGA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</si>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</sst>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I15" sqref="I15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5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4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7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zoomScaleNormal="100" workbookViewId="0">
      <selection activeCell="H54" sqref="H54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VILLA ALEGRE  ( 121305 )</v>
      </c>
    </row>
    <row r="4" spans="1:6" x14ac:dyDescent="0.2">
      <c r="A4" s="50" t="str">
        <f>CONCATENATE("MES: ",NOMBRE!B6,"  ","( ",NOMBRE!C6,NOMBRE!D6," )")</f>
        <v>MES: ABRIL  ( 04 )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51</v>
      </c>
      <c r="E21" s="77">
        <f>SUM(E22+E23)</f>
        <v>0</v>
      </c>
      <c r="F21" s="77">
        <f>SUM(F22+F23)</f>
        <v>51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51</v>
      </c>
      <c r="E23" s="78">
        <f>SUM(BM18A!D114:D118)</f>
        <v>0</v>
      </c>
      <c r="F23" s="80">
        <f>SUM(BM18A!E114:E118)</f>
        <v>51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294"/>
      <c r="B25" s="310"/>
      <c r="C25" s="134" t="s">
        <v>92</v>
      </c>
      <c r="D25" s="80">
        <f>SUM(F25)</f>
        <v>6</v>
      </c>
      <c r="E25" s="100"/>
      <c r="F25" s="93">
        <v>6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294"/>
      <c r="B27" s="310"/>
      <c r="C27" s="134" t="s">
        <v>92</v>
      </c>
      <c r="D27" s="80">
        <f t="shared" si="3"/>
        <v>15</v>
      </c>
      <c r="E27" s="92"/>
      <c r="F27" s="93">
        <v>15</v>
      </c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294"/>
      <c r="B29" s="310"/>
      <c r="C29" s="134" t="s">
        <v>92</v>
      </c>
      <c r="D29" s="80">
        <f t="shared" si="3"/>
        <v>1</v>
      </c>
      <c r="E29" s="92"/>
      <c r="F29" s="93">
        <v>1</v>
      </c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294"/>
      <c r="B31" s="310"/>
      <c r="C31" s="134" t="s">
        <v>92</v>
      </c>
      <c r="D31" s="80">
        <f t="shared" si="3"/>
        <v>9</v>
      </c>
      <c r="E31" s="92"/>
      <c r="F31" s="93">
        <v>9</v>
      </c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31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294"/>
      <c r="B35" s="310"/>
      <c r="C35" s="134" t="s">
        <v>92</v>
      </c>
      <c r="D35" s="81">
        <f>SUM(F35)</f>
        <v>10</v>
      </c>
      <c r="E35" s="92"/>
      <c r="F35" s="93">
        <v>10</v>
      </c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295"/>
      <c r="B37" s="310"/>
      <c r="C37" s="134" t="s">
        <v>92</v>
      </c>
      <c r="D37" s="81">
        <f>SUM(F37)</f>
        <v>10</v>
      </c>
      <c r="E37" s="96"/>
      <c r="F37" s="97">
        <v>10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66</v>
      </c>
      <c r="C43" s="83">
        <f>BM18A!D158</f>
        <v>0</v>
      </c>
      <c r="D43" s="83">
        <f>BM18A!E158</f>
        <v>66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1</v>
      </c>
      <c r="C45" s="79">
        <f>SUM(BM18A!D132:D139)</f>
        <v>0</v>
      </c>
      <c r="D45" s="79">
        <f>SUM(BM18A!E132:E139)</f>
        <v>1</v>
      </c>
    </row>
    <row r="46" spans="1:6" ht="16.5" customHeight="1" x14ac:dyDescent="0.2">
      <c r="A46" s="90" t="s">
        <v>105</v>
      </c>
      <c r="B46" s="79">
        <f t="shared" si="4"/>
        <v>267</v>
      </c>
      <c r="C46" s="83">
        <f>BM18A!D148</f>
        <v>0</v>
      </c>
      <c r="D46" s="83">
        <f>BM18A!E148</f>
        <v>267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3</v>
      </c>
      <c r="C48" s="83">
        <f>BM18A!D169</f>
        <v>0</v>
      </c>
      <c r="D48" s="83">
        <f>BM18A!E169</f>
        <v>3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218</v>
      </c>
      <c r="C50" s="79">
        <f>BM18A!D177</f>
        <v>0</v>
      </c>
      <c r="D50" s="79">
        <f>BM18A!E177</f>
        <v>218</v>
      </c>
    </row>
    <row r="51" spans="1:4" ht="16.5" customHeight="1" x14ac:dyDescent="0.2">
      <c r="A51" s="223" t="s">
        <v>110</v>
      </c>
      <c r="B51" s="90">
        <f t="shared" si="4"/>
        <v>3699</v>
      </c>
      <c r="C51" s="81">
        <f>BM18A!D206</f>
        <v>0</v>
      </c>
      <c r="D51" s="81">
        <f>BM18A!E206</f>
        <v>3699</v>
      </c>
    </row>
    <row r="52" spans="1:4" ht="17.25" customHeight="1" x14ac:dyDescent="0.2">
      <c r="A52" s="91" t="s">
        <v>67</v>
      </c>
      <c r="B52" s="77">
        <f>SUM(B42:B51)</f>
        <v>4254</v>
      </c>
      <c r="C52" s="77">
        <f>SUM(C42:C51)</f>
        <v>0</v>
      </c>
      <c r="D52" s="77">
        <f>SUM(D42:D51)</f>
        <v>4254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>
        <v>0</v>
      </c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12</v>
      </c>
      <c r="D60" s="84">
        <v>0</v>
      </c>
    </row>
    <row r="61" spans="1:4" ht="16.5" customHeight="1" x14ac:dyDescent="0.2">
      <c r="A61" s="326"/>
      <c r="B61" s="12" t="s">
        <v>120</v>
      </c>
      <c r="C61" s="88">
        <v>0</v>
      </c>
      <c r="D61" s="85">
        <v>0</v>
      </c>
    </row>
    <row r="62" spans="1:4" ht="16.5" customHeight="1" x14ac:dyDescent="0.2">
      <c r="A62" s="327"/>
      <c r="B62" s="13" t="s">
        <v>121</v>
      </c>
      <c r="C62" s="89">
        <v>0</v>
      </c>
      <c r="D62" s="86">
        <v>0</v>
      </c>
    </row>
    <row r="96" spans="1:1" hidden="1" x14ac:dyDescent="0.2">
      <c r="A96" s="215">
        <f>SUM(D13:D37,B42:B52,B57,C60:C62)</f>
        <v>8704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36" zoomScaleNormal="100" workbookViewId="0">
      <selection activeCell="E145" sqref="E145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VILLA ALEGRE  ( 121305 )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ABRIL  ( 04 )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>
        <v>0</v>
      </c>
      <c r="E13" s="114">
        <v>0</v>
      </c>
      <c r="F13" s="65">
        <v>0</v>
      </c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>
        <v>0</v>
      </c>
      <c r="E14" s="114">
        <v>0</v>
      </c>
      <c r="F14" s="65">
        <v>0</v>
      </c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>
        <v>0</v>
      </c>
      <c r="E15" s="114">
        <v>0</v>
      </c>
      <c r="F15" s="65">
        <v>0</v>
      </c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>
        <v>0</v>
      </c>
      <c r="E16" s="114">
        <v>0</v>
      </c>
      <c r="F16" s="65">
        <v>0</v>
      </c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>
        <v>0</v>
      </c>
      <c r="E17" s="114">
        <v>0</v>
      </c>
      <c r="F17" s="65">
        <v>0</v>
      </c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>
        <v>0</v>
      </c>
      <c r="E18" s="114">
        <v>0</v>
      </c>
      <c r="F18" s="65">
        <v>0</v>
      </c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>
        <v>0</v>
      </c>
      <c r="E19" s="114">
        <v>0</v>
      </c>
      <c r="F19" s="65">
        <v>0</v>
      </c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>
        <v>0</v>
      </c>
      <c r="E23" s="114">
        <v>0</v>
      </c>
      <c r="F23" s="65">
        <v>0</v>
      </c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>
        <v>0</v>
      </c>
      <c r="E24" s="114">
        <v>0</v>
      </c>
      <c r="F24" s="65">
        <v>0</v>
      </c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>
        <v>0</v>
      </c>
      <c r="E25" s="114">
        <v>0</v>
      </c>
      <c r="F25" s="65">
        <v>0</v>
      </c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>
        <v>0</v>
      </c>
      <c r="E26" s="114">
        <v>0</v>
      </c>
      <c r="F26" s="65">
        <v>0</v>
      </c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>
        <v>0</v>
      </c>
      <c r="E27" s="114">
        <v>0</v>
      </c>
      <c r="F27" s="65">
        <v>0</v>
      </c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>
        <v>0</v>
      </c>
      <c r="E28" s="114">
        <v>0</v>
      </c>
      <c r="F28" s="65">
        <v>0</v>
      </c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>
        <v>0</v>
      </c>
      <c r="E29" s="114">
        <v>0</v>
      </c>
      <c r="F29" s="65">
        <v>0</v>
      </c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>
        <v>0</v>
      </c>
      <c r="E30" s="114">
        <v>0</v>
      </c>
      <c r="F30" s="65">
        <v>0</v>
      </c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>
        <v>0</v>
      </c>
      <c r="E31" s="114">
        <v>0</v>
      </c>
      <c r="F31" s="65">
        <v>0</v>
      </c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>
        <v>0</v>
      </c>
      <c r="E32" s="114">
        <v>0</v>
      </c>
      <c r="F32" s="65">
        <v>0</v>
      </c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>
        <v>0</v>
      </c>
      <c r="E33" s="114">
        <v>0</v>
      </c>
      <c r="F33" s="65">
        <v>0</v>
      </c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>
        <v>0</v>
      </c>
      <c r="E34" s="114">
        <v>0</v>
      </c>
      <c r="F34" s="65">
        <v>0</v>
      </c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>
        <v>0</v>
      </c>
      <c r="E35" s="114">
        <v>0</v>
      </c>
      <c r="F35" s="65">
        <v>0</v>
      </c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>
        <v>0</v>
      </c>
      <c r="E36" s="114">
        <v>0</v>
      </c>
      <c r="F36" s="65">
        <v>0</v>
      </c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>
        <v>0</v>
      </c>
      <c r="E37" s="114">
        <v>0</v>
      </c>
      <c r="F37" s="65">
        <v>0</v>
      </c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>
        <v>0</v>
      </c>
      <c r="E38" s="114">
        <v>0</v>
      </c>
      <c r="F38" s="65">
        <v>0</v>
      </c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>
        <v>0</v>
      </c>
      <c r="E39" s="114">
        <v>0</v>
      </c>
      <c r="F39" s="65">
        <v>0</v>
      </c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>
        <v>0</v>
      </c>
      <c r="E40" s="114">
        <v>0</v>
      </c>
      <c r="F40" s="65">
        <v>0</v>
      </c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>
        <v>0</v>
      </c>
      <c r="E41" s="114">
        <v>0</v>
      </c>
      <c r="F41" s="65">
        <v>0</v>
      </c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>
        <v>0</v>
      </c>
      <c r="E42" s="114">
        <v>0</v>
      </c>
      <c r="F42" s="65">
        <v>0</v>
      </c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>
        <v>0</v>
      </c>
      <c r="E46" s="114">
        <v>0</v>
      </c>
      <c r="F46" s="65">
        <v>0</v>
      </c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>
        <v>0</v>
      </c>
      <c r="E47" s="114">
        <v>0</v>
      </c>
      <c r="F47" s="65">
        <v>0</v>
      </c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>
        <v>0</v>
      </c>
      <c r="E48" s="114">
        <v>0</v>
      </c>
      <c r="F48" s="65">
        <v>0</v>
      </c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>
        <v>0</v>
      </c>
      <c r="E52" s="114">
        <v>0</v>
      </c>
      <c r="F52" s="65">
        <v>0</v>
      </c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>
        <v>0</v>
      </c>
      <c r="E53" s="114">
        <v>0</v>
      </c>
      <c r="F53" s="65">
        <v>0</v>
      </c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>
        <v>0</v>
      </c>
      <c r="E57" s="114">
        <v>0</v>
      </c>
      <c r="F57" s="65">
        <v>0</v>
      </c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>
        <v>0</v>
      </c>
      <c r="E58" s="114">
        <v>0</v>
      </c>
      <c r="F58" s="65">
        <v>0</v>
      </c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>
        <v>0</v>
      </c>
      <c r="E59" s="114">
        <v>0</v>
      </c>
      <c r="F59" s="65">
        <v>0</v>
      </c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>
        <v>0</v>
      </c>
      <c r="E60" s="114">
        <v>0</v>
      </c>
      <c r="F60" s="65">
        <v>0</v>
      </c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>
        <v>0</v>
      </c>
      <c r="E61" s="114">
        <v>0</v>
      </c>
      <c r="F61" s="65">
        <v>0</v>
      </c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>
        <v>0</v>
      </c>
      <c r="E62" s="114">
        <v>0</v>
      </c>
      <c r="F62" s="65">
        <v>0</v>
      </c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>
        <v>0</v>
      </c>
      <c r="E63" s="114">
        <v>0</v>
      </c>
      <c r="F63" s="65">
        <v>0</v>
      </c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>
        <v>0</v>
      </c>
      <c r="E64" s="114">
        <v>0</v>
      </c>
      <c r="F64" s="65">
        <v>0</v>
      </c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>
        <v>0</v>
      </c>
      <c r="E65" s="114">
        <v>0</v>
      </c>
      <c r="F65" s="65">
        <v>0</v>
      </c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>
        <v>0</v>
      </c>
      <c r="E66" s="114">
        <v>0</v>
      </c>
      <c r="F66" s="65">
        <v>0</v>
      </c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>
        <v>0</v>
      </c>
      <c r="E67" s="114">
        <v>0</v>
      </c>
      <c r="F67" s="65">
        <v>0</v>
      </c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>
        <v>0</v>
      </c>
      <c r="E68" s="114">
        <v>0</v>
      </c>
      <c r="F68" s="65">
        <v>0</v>
      </c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>
        <v>0</v>
      </c>
      <c r="E69" s="114">
        <v>0</v>
      </c>
      <c r="F69" s="65">
        <v>0</v>
      </c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>
        <v>0</v>
      </c>
      <c r="E70" s="115">
        <v>0</v>
      </c>
      <c r="F70" s="67">
        <v>0</v>
      </c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>
        <v>0</v>
      </c>
      <c r="E71" s="115">
        <v>0</v>
      </c>
      <c r="F71" s="67">
        <v>0</v>
      </c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>
        <v>0</v>
      </c>
      <c r="E72" s="115">
        <v>0</v>
      </c>
      <c r="F72" s="67">
        <v>0</v>
      </c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>
        <v>0</v>
      </c>
      <c r="E76" s="114">
        <v>0</v>
      </c>
      <c r="F76" s="65">
        <v>0</v>
      </c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>
        <v>0</v>
      </c>
      <c r="E77" s="114">
        <v>0</v>
      </c>
      <c r="F77" s="65">
        <v>0</v>
      </c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>
        <v>0</v>
      </c>
      <c r="E81" s="114">
        <v>0</v>
      </c>
      <c r="F81" s="65">
        <v>0</v>
      </c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>
        <v>0</v>
      </c>
      <c r="E82" s="114">
        <v>0</v>
      </c>
      <c r="F82" s="65">
        <v>0</v>
      </c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>
        <v>0</v>
      </c>
      <c r="E83" s="114">
        <v>0</v>
      </c>
      <c r="F83" s="65">
        <v>0</v>
      </c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>
        <v>0</v>
      </c>
      <c r="E84" s="114">
        <v>0</v>
      </c>
      <c r="F84" s="65">
        <v>0</v>
      </c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>
        <v>0</v>
      </c>
      <c r="E85" s="114">
        <v>0</v>
      </c>
      <c r="F85" s="65">
        <v>0</v>
      </c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>
        <v>0</v>
      </c>
      <c r="E86" s="114">
        <v>0</v>
      </c>
      <c r="F86" s="65">
        <v>0</v>
      </c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>
        <v>0</v>
      </c>
      <c r="E87" s="114">
        <v>0</v>
      </c>
      <c r="F87" s="65">
        <v>0</v>
      </c>
    </row>
    <row r="88" spans="1:6" ht="15" customHeight="1" x14ac:dyDescent="0.2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>
        <v>0</v>
      </c>
      <c r="E92" s="113">
        <v>0</v>
      </c>
      <c r="F92" s="63">
        <v>0</v>
      </c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>
        <v>0</v>
      </c>
      <c r="E93" s="114">
        <v>0</v>
      </c>
      <c r="F93" s="65">
        <v>0</v>
      </c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>
        <v>0</v>
      </c>
      <c r="E94" s="114">
        <v>0</v>
      </c>
      <c r="F94" s="65">
        <v>0</v>
      </c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>
        <v>0</v>
      </c>
      <c r="E95" s="114">
        <v>0</v>
      </c>
      <c r="F95" s="65">
        <v>0</v>
      </c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>
        <v>0</v>
      </c>
      <c r="E96" s="114">
        <v>0</v>
      </c>
      <c r="F96" s="65">
        <v>0</v>
      </c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>
        <v>0</v>
      </c>
      <c r="E97" s="114">
        <v>0</v>
      </c>
      <c r="F97" s="65">
        <v>0</v>
      </c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>
        <v>0</v>
      </c>
      <c r="E98" s="114">
        <v>0</v>
      </c>
      <c r="F98" s="65">
        <v>0</v>
      </c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>
        <v>0</v>
      </c>
      <c r="E99" s="114">
        <v>0</v>
      </c>
      <c r="F99" s="65">
        <v>0</v>
      </c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>
        <v>0</v>
      </c>
      <c r="E100" s="114">
        <v>0</v>
      </c>
      <c r="F100" s="65">
        <v>0</v>
      </c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>
        <v>0</v>
      </c>
      <c r="E101" s="114">
        <v>0</v>
      </c>
      <c r="F101" s="65">
        <v>0</v>
      </c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>
        <v>0</v>
      </c>
      <c r="E102" s="114">
        <v>0</v>
      </c>
      <c r="F102" s="65">
        <v>0</v>
      </c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>
        <v>0</v>
      </c>
      <c r="E103" s="114">
        <v>0</v>
      </c>
      <c r="F103" s="65">
        <v>0</v>
      </c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>
        <v>0</v>
      </c>
      <c r="E104" s="114">
        <v>0</v>
      </c>
      <c r="F104" s="65">
        <v>0</v>
      </c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>
        <v>0</v>
      </c>
      <c r="E105" s="114">
        <v>0</v>
      </c>
      <c r="F105" s="65">
        <v>0</v>
      </c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>
        <v>0</v>
      </c>
      <c r="E106" s="114">
        <v>0</v>
      </c>
      <c r="F106" s="65">
        <v>0</v>
      </c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>
        <v>0</v>
      </c>
      <c r="E107" s="114">
        <v>0</v>
      </c>
      <c r="F107" s="65">
        <v>0</v>
      </c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>
        <v>0</v>
      </c>
      <c r="E108" s="114">
        <v>0</v>
      </c>
      <c r="F108" s="65">
        <v>0</v>
      </c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>
        <v>0</v>
      </c>
      <c r="E109" s="114">
        <v>0</v>
      </c>
      <c r="F109" s="65">
        <v>0</v>
      </c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>
        <v>0</v>
      </c>
      <c r="E110" s="114">
        <v>0</v>
      </c>
      <c r="F110" s="65">
        <v>0</v>
      </c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>
        <v>0</v>
      </c>
      <c r="E111" s="114">
        <v>0</v>
      </c>
      <c r="F111" s="65">
        <v>0</v>
      </c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>
        <v>0</v>
      </c>
      <c r="E112" s="114">
        <v>0</v>
      </c>
      <c r="F112" s="65">
        <v>0</v>
      </c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>
        <v>0</v>
      </c>
      <c r="E113" s="114">
        <v>0</v>
      </c>
      <c r="F113" s="65">
        <v>0</v>
      </c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31</v>
      </c>
      <c r="D114" s="65">
        <v>0</v>
      </c>
      <c r="E114" s="114">
        <v>31</v>
      </c>
      <c r="F114" s="65">
        <v>0</v>
      </c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20</v>
      </c>
      <c r="D115" s="65">
        <v>0</v>
      </c>
      <c r="E115" s="114">
        <v>20</v>
      </c>
      <c r="F115" s="65">
        <v>0</v>
      </c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>
        <v>0</v>
      </c>
      <c r="E116" s="114">
        <v>0</v>
      </c>
      <c r="F116" s="65">
        <v>0</v>
      </c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>
        <v>0</v>
      </c>
      <c r="E117" s="114">
        <v>0</v>
      </c>
      <c r="F117" s="65">
        <v>0</v>
      </c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>
        <v>0</v>
      </c>
      <c r="E118" s="184">
        <v>0</v>
      </c>
      <c r="F118" s="183">
        <v>0</v>
      </c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>
        <v>0</v>
      </c>
      <c r="E124" s="247">
        <v>0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>
        <v>0</v>
      </c>
      <c r="E125" s="248">
        <v>0</v>
      </c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>
        <v>0</v>
      </c>
      <c r="E126" s="248">
        <v>0</v>
      </c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>
        <v>0</v>
      </c>
      <c r="E127" s="248">
        <v>0</v>
      </c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>
        <v>0</v>
      </c>
      <c r="E131" s="253">
        <v>0</v>
      </c>
      <c r="F131" s="249">
        <v>0</v>
      </c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>
        <v>0</v>
      </c>
      <c r="E132" s="254">
        <v>0</v>
      </c>
      <c r="F132" s="250">
        <v>0</v>
      </c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>
        <v>0</v>
      </c>
      <c r="E133" s="255">
        <v>0</v>
      </c>
      <c r="F133" s="250">
        <v>0</v>
      </c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1</v>
      </c>
      <c r="D134" s="189">
        <v>0</v>
      </c>
      <c r="E134" s="255">
        <v>1</v>
      </c>
      <c r="F134" s="250">
        <v>0</v>
      </c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>
        <v>0</v>
      </c>
      <c r="E135" s="255">
        <v>0</v>
      </c>
      <c r="F135" s="250">
        <v>0</v>
      </c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>
        <v>0</v>
      </c>
      <c r="E136" s="255">
        <v>0</v>
      </c>
      <c r="F136" s="250">
        <v>0</v>
      </c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>
        <v>0</v>
      </c>
      <c r="E137" s="255">
        <v>0</v>
      </c>
      <c r="F137" s="250">
        <v>0</v>
      </c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>
        <v>0</v>
      </c>
      <c r="E138" s="255">
        <v>0</v>
      </c>
      <c r="F138" s="250">
        <v>0</v>
      </c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>
        <v>0</v>
      </c>
      <c r="E139" s="255">
        <v>0</v>
      </c>
      <c r="F139" s="251">
        <v>0</v>
      </c>
    </row>
    <row r="140" spans="1:6" ht="15" customHeight="1" x14ac:dyDescent="0.2">
      <c r="A140" s="345" t="s">
        <v>67</v>
      </c>
      <c r="B140" s="346"/>
      <c r="C140" s="72">
        <f>SUM(C131:C139)</f>
        <v>1</v>
      </c>
      <c r="D140" s="72">
        <f t="shared" ref="D140:F140" si="15">SUM(D131:D139)</f>
        <v>0</v>
      </c>
      <c r="E140" s="256">
        <f t="shared" si="15"/>
        <v>1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216</v>
      </c>
      <c r="D143" s="194">
        <v>0</v>
      </c>
      <c r="E143" s="247">
        <v>216</v>
      </c>
      <c r="F143" s="257">
        <v>0</v>
      </c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>
        <v>0</v>
      </c>
      <c r="E144" s="260">
        <v>0</v>
      </c>
      <c r="F144" s="250">
        <v>0</v>
      </c>
    </row>
    <row r="145" spans="1:6" ht="15" customHeight="1" x14ac:dyDescent="0.2">
      <c r="A145" s="60"/>
      <c r="B145" s="129" t="s">
        <v>320</v>
      </c>
      <c r="C145" s="73">
        <f>SUM(D145:E145)</f>
        <v>51</v>
      </c>
      <c r="D145" s="196">
        <v>0</v>
      </c>
      <c r="E145" s="261">
        <v>51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>
        <v>0</v>
      </c>
      <c r="E146" s="255">
        <v>0</v>
      </c>
      <c r="F146" s="250">
        <v>0</v>
      </c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>
        <v>0</v>
      </c>
      <c r="E147" s="262">
        <v>0</v>
      </c>
      <c r="F147" s="258">
        <v>0</v>
      </c>
    </row>
    <row r="148" spans="1:6" ht="15" customHeight="1" x14ac:dyDescent="0.2">
      <c r="A148" s="345" t="s">
        <v>67</v>
      </c>
      <c r="B148" s="346"/>
      <c r="C148" s="159">
        <f>SUM(C143:C147)</f>
        <v>267</v>
      </c>
      <c r="D148" s="159">
        <f t="shared" ref="D148" si="16">SUM(D143:D147)</f>
        <v>0</v>
      </c>
      <c r="E148" s="263">
        <f>SUM(E143:E147)</f>
        <v>267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46</v>
      </c>
      <c r="D151" s="237">
        <v>0</v>
      </c>
      <c r="E151" s="113">
        <v>46</v>
      </c>
      <c r="F151" s="257">
        <v>0</v>
      </c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>
        <v>0</v>
      </c>
      <c r="E152" s="114">
        <v>0</v>
      </c>
      <c r="F152" s="250">
        <v>0</v>
      </c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>
        <v>0</v>
      </c>
      <c r="E153" s="114">
        <v>0</v>
      </c>
      <c r="F153" s="250">
        <v>0</v>
      </c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15</v>
      </c>
      <c r="D154" s="214">
        <v>0</v>
      </c>
      <c r="E154" s="115">
        <v>15</v>
      </c>
      <c r="F154" s="250">
        <v>0</v>
      </c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>
        <v>0</v>
      </c>
      <c r="E155" s="255">
        <v>0</v>
      </c>
      <c r="F155" s="250">
        <v>0</v>
      </c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5</v>
      </c>
      <c r="D156" s="210">
        <v>0</v>
      </c>
      <c r="E156" s="255">
        <v>5</v>
      </c>
      <c r="F156" s="250">
        <v>0</v>
      </c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>
        <v>0</v>
      </c>
      <c r="E157" s="262">
        <v>0</v>
      </c>
      <c r="F157" s="258">
        <v>0</v>
      </c>
    </row>
    <row r="158" spans="1:6" ht="15" customHeight="1" x14ac:dyDescent="0.2">
      <c r="A158" s="345" t="s">
        <v>67</v>
      </c>
      <c r="B158" s="346"/>
      <c r="C158" s="72">
        <f>SUM(C151:C157)</f>
        <v>66</v>
      </c>
      <c r="D158" s="212">
        <f t="shared" ref="D158:F158" si="18">SUM(D151:D157)</f>
        <v>0</v>
      </c>
      <c r="E158" s="256">
        <f t="shared" si="18"/>
        <v>66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>
        <v>0</v>
      </c>
      <c r="E161" s="266">
        <v>0</v>
      </c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>
        <v>0</v>
      </c>
      <c r="E162" s="255">
        <v>0</v>
      </c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>
        <v>0</v>
      </c>
      <c r="E163" s="114">
        <v>0</v>
      </c>
      <c r="F163" s="265"/>
    </row>
    <row r="164" spans="1:6" ht="15" customHeight="1" x14ac:dyDescent="0.2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3</v>
      </c>
      <c r="D167" s="240">
        <v>0</v>
      </c>
      <c r="E167" s="266">
        <v>3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>
        <v>0</v>
      </c>
      <c r="E168" s="267">
        <v>0</v>
      </c>
      <c r="F168" s="265"/>
    </row>
    <row r="169" spans="1:6" ht="15" customHeight="1" x14ac:dyDescent="0.2">
      <c r="A169" s="345" t="s">
        <v>67</v>
      </c>
      <c r="B169" s="346"/>
      <c r="C169" s="155">
        <f>SUM(C167:C168)</f>
        <v>3</v>
      </c>
      <c r="D169" s="228">
        <f>SUM(D167:D168)</f>
        <v>0</v>
      </c>
      <c r="E169" s="268">
        <f>SUM(E167:E168)</f>
        <v>3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5</v>
      </c>
      <c r="D172" s="242">
        <v>0</v>
      </c>
      <c r="E172" s="113">
        <v>5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7</v>
      </c>
      <c r="D173" s="65">
        <v>0</v>
      </c>
      <c r="E173" s="114">
        <v>7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10</v>
      </c>
      <c r="D174" s="65">
        <v>0</v>
      </c>
      <c r="E174" s="114">
        <v>10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167</v>
      </c>
      <c r="D175" s="65">
        <v>0</v>
      </c>
      <c r="E175" s="114">
        <v>167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29</v>
      </c>
      <c r="D176" s="201">
        <v>0</v>
      </c>
      <c r="E176" s="270">
        <v>29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218</v>
      </c>
      <c r="D177" s="155">
        <f t="shared" ref="D177:E177" si="20">SUM(D172:D176)</f>
        <v>0</v>
      </c>
      <c r="E177" s="271">
        <f t="shared" si="20"/>
        <v>218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>
        <v>0</v>
      </c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>
        <v>0</v>
      </c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>
        <v>0</v>
      </c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>
        <v>0</v>
      </c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>
        <v>0</v>
      </c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>
        <v>0</v>
      </c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1004</v>
      </c>
      <c r="D189" s="225">
        <v>0</v>
      </c>
      <c r="E189" s="266">
        <v>1004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19</v>
      </c>
      <c r="D190" s="226">
        <v>0</v>
      </c>
      <c r="E190" s="255">
        <v>19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301</v>
      </c>
      <c r="D191" s="210">
        <v>0</v>
      </c>
      <c r="E191" s="255">
        <v>301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175</v>
      </c>
      <c r="D192" s="210">
        <v>0</v>
      </c>
      <c r="E192" s="255">
        <v>175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79</v>
      </c>
      <c r="D193" s="210">
        <v>0</v>
      </c>
      <c r="E193" s="255">
        <v>79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85</v>
      </c>
      <c r="D194" s="226">
        <v>0</v>
      </c>
      <c r="E194" s="277">
        <v>85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584</v>
      </c>
      <c r="D195" s="210">
        <v>0</v>
      </c>
      <c r="E195" s="255">
        <v>584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>
        <v>0</v>
      </c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>
        <v>0</v>
      </c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>
        <v>0</v>
      </c>
      <c r="E198" s="255">
        <v>0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418</v>
      </c>
      <c r="D199" s="210">
        <v>0</v>
      </c>
      <c r="E199" s="255">
        <v>418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>
        <v>0</v>
      </c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>
        <v>0</v>
      </c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66</v>
      </c>
      <c r="D202" s="210">
        <v>0</v>
      </c>
      <c r="E202" s="255">
        <v>66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15</v>
      </c>
      <c r="D203" s="210">
        <v>0</v>
      </c>
      <c r="E203" s="255">
        <v>15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934</v>
      </c>
      <c r="D204" s="210">
        <v>0</v>
      </c>
      <c r="E204" s="255">
        <v>934</v>
      </c>
      <c r="F204" s="250">
        <v>0</v>
      </c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19</v>
      </c>
      <c r="D205" s="211">
        <v>0</v>
      </c>
      <c r="E205" s="255">
        <v>19</v>
      </c>
      <c r="F205" s="258">
        <v>0</v>
      </c>
    </row>
    <row r="206" spans="1:6" ht="15" customHeight="1" x14ac:dyDescent="0.2">
      <c r="A206" s="345" t="s">
        <v>67</v>
      </c>
      <c r="B206" s="346"/>
      <c r="C206" s="72">
        <f>SUM(C189:C205)</f>
        <v>3699</v>
      </c>
      <c r="D206" s="212">
        <f t="shared" ref="D206:F206" si="24">SUM(D189:D205)</f>
        <v>0</v>
      </c>
      <c r="E206" s="256">
        <f t="shared" si="24"/>
        <v>3699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/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ABRIL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GDI</dc:creator>
  <cp:keywords/>
  <dc:description/>
  <cp:lastModifiedBy>Sergio Guzman Solis</cp:lastModifiedBy>
  <cp:revision/>
  <dcterms:created xsi:type="dcterms:W3CDTF">2007-01-29T23:37:08Z</dcterms:created>
  <dcterms:modified xsi:type="dcterms:W3CDTF">2025-08-27T21:18:23Z</dcterms:modified>
  <cp:category/>
  <cp:contentStatus/>
</cp:coreProperties>
</file>