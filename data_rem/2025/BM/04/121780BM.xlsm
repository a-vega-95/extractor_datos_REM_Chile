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LAR\ABRIL\"/>
    </mc:Choice>
  </mc:AlternateContent>
  <xr:revisionPtr revIDLastSave="0" documentId="13_ncr:1_{BB46A5FE-0246-490C-9A42-12DC27D63EA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<sst xmlns="http://schemas.openxmlformats.org/spreadsheetml/2006/main" count="452" uniqueCount="397">
  <si>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</si>
  <si>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</si>
  <si>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</si>
  <si>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</si>
  <si>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</si>
  <si>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</si>
  <si>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</si>
  <si>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</si>
  <si>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</si>
  <si>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</si>
  <si>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</si>
  <si>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JAVIERA AGUIRRE HUECHUCURA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</si>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</sst>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3" sqref="B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6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1" zoomScale="77" zoomScaleNormal="77" workbookViewId="0">
      <selection activeCell="F29" sqref="F2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32</v>
      </c>
      <c r="C50" s="79">
        <f>BM18A!D177</f>
        <v>0</v>
      </c>
      <c r="D50" s="79">
        <f>BM18A!E177</f>
        <v>32</v>
      </c>
    </row>
    <row r="51" spans="1:4" ht="16.5" customHeight="1" x14ac:dyDescent="0.2">
      <c r="A51" s="223" t="s">
        <v>109</v>
      </c>
      <c r="B51" s="90">
        <f t="shared" si="4"/>
        <v>386</v>
      </c>
      <c r="C51" s="81">
        <f>BM18A!D206</f>
        <v>0</v>
      </c>
      <c r="D51" s="81">
        <f>BM18A!E206</f>
        <v>386</v>
      </c>
    </row>
    <row r="52" spans="1:4" ht="17.25" customHeight="1" x14ac:dyDescent="0.2">
      <c r="A52" s="91" t="s">
        <v>66</v>
      </c>
      <c r="B52" s="77">
        <f>SUM(B42:B51)</f>
        <v>418</v>
      </c>
      <c r="C52" s="77">
        <f>SUM(C42:C51)</f>
        <v>0</v>
      </c>
      <c r="D52" s="77">
        <f>SUM(D42:D51)</f>
        <v>418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>
        <v>0</v>
      </c>
      <c r="D60" s="84">
        <v>0</v>
      </c>
    </row>
    <row r="61" spans="1:4" ht="16.5" customHeight="1" x14ac:dyDescent="0.2">
      <c r="A61" s="326"/>
      <c r="B61" s="12" t="s">
        <v>119</v>
      </c>
      <c r="C61" s="88"/>
      <c r="D61" s="85"/>
    </row>
    <row r="62" spans="1:4" ht="16.5" customHeight="1" x14ac:dyDescent="0.2">
      <c r="A62" s="327"/>
      <c r="B62" s="13" t="s">
        <v>120</v>
      </c>
      <c r="C62" s="89"/>
      <c r="D62" s="86"/>
    </row>
    <row r="96" spans="1:1" hidden="1" x14ac:dyDescent="0.2">
      <c r="A96" s="215">
        <f>SUM(D13:D37,B42:B52,B57,C60:C62)</f>
        <v>836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53" zoomScale="80" zoomScaleNormal="80" workbookViewId="0">
      <selection activeCell="I172" sqref="I17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66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66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66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66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66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2</v>
      </c>
      <c r="D172" s="242"/>
      <c r="E172" s="113">
        <v>2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2</v>
      </c>
      <c r="D173" s="65"/>
      <c r="E173" s="114">
        <v>2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28</v>
      </c>
      <c r="D175" s="65"/>
      <c r="E175" s="114">
        <v>28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66</v>
      </c>
      <c r="B177" s="346"/>
      <c r="C177" s="155">
        <f>SUM(C172:C176)</f>
        <v>32</v>
      </c>
      <c r="D177" s="155">
        <f t="shared" ref="D177:E177" si="20">SUM(D172:D176)</f>
        <v>0</v>
      </c>
      <c r="E177" s="271">
        <f t="shared" si="20"/>
        <v>32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20</v>
      </c>
      <c r="D191" s="210"/>
      <c r="E191" s="255">
        <v>20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27</v>
      </c>
      <c r="D192" s="210"/>
      <c r="E192" s="255">
        <v>27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22</v>
      </c>
      <c r="D193" s="210"/>
      <c r="E193" s="255">
        <v>22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8</v>
      </c>
      <c r="D194" s="226"/>
      <c r="E194" s="277">
        <v>8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97</v>
      </c>
      <c r="D195" s="210"/>
      <c r="E195" s="255">
        <v>97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61</v>
      </c>
      <c r="D202" s="210"/>
      <c r="E202" s="255">
        <v>61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150</v>
      </c>
      <c r="D204" s="210"/>
      <c r="E204" s="255">
        <v>150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1</v>
      </c>
      <c r="D205" s="211"/>
      <c r="E205" s="255">
        <v>1</v>
      </c>
      <c r="F205" s="258"/>
    </row>
    <row r="206" spans="1:6" ht="15" customHeight="1" x14ac:dyDescent="0.2">
      <c r="A206" s="345" t="s">
        <v>66</v>
      </c>
      <c r="B206" s="346"/>
      <c r="C206" s="72">
        <f>SUM(C189:C205)</f>
        <v>386</v>
      </c>
      <c r="D206" s="212">
        <f t="shared" ref="D206:F206" si="24">SUM(D189:D205)</f>
        <v>0</v>
      </c>
      <c r="E206" s="256">
        <f t="shared" si="24"/>
        <v>386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2025-05-07T16:02:42Z</dcterms:modified>
  <cp:category/>
  <cp:contentStatus/>
</cp:coreProperties>
</file>