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EL CARMEN\ABRIL\"/>
    </mc:Choice>
  </mc:AlternateContent>
  <xr:revisionPtr revIDLastSave="0" documentId="13_ncr:1_{C2AA9527-DC33-49C0-9E94-6C6C37C48DA2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firstSheet="2" activeTab="3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<sst xmlns="http://schemas.openxmlformats.org/spreadsheetml/2006/main" count="452" uniqueCount="397">
  <si>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</si>
  <si>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</si>
  <si>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</si>
  <si>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</si>
  <si>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</si>
  <si>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EL CARMEN</t>
  </si>
  <si>
    <t>MES:</t>
  </si>
  <si>
    <t>ABRIL</t>
  </si>
  <si>
    <t>AÑO:</t>
  </si>
  <si>
    <t xml:space="preserve"> </t>
  </si>
  <si>
    <t>Versión 1.2 Marzo 2025</t>
  </si>
  <si>
    <t>Director/a Servicio de Salud o Director/a Establecimiento</t>
  </si>
  <si>
    <t>SR. YERSSON SÁEZ GONZÁLEZ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</si>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</sst>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B12" sqref="B12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2</v>
      </c>
      <c r="D3" s="38">
        <v>0</v>
      </c>
      <c r="E3" s="38">
        <v>0</v>
      </c>
      <c r="F3" s="38">
        <v>1</v>
      </c>
      <c r="G3" s="38">
        <v>8</v>
      </c>
      <c r="H3" s="39">
        <v>3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4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7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53" zoomScaleNormal="100" workbookViewId="0">
      <selection activeCell="H28" sqref="H28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EL CARMEN  ( 200183 )</v>
      </c>
    </row>
    <row r="4" spans="1:6" x14ac:dyDescent="0.2">
      <c r="A4" s="50" t="str">
        <f>CONCATENATE("MES: ",NOMBRE!B6,"  ","( ",NOMBRE!C6,NOMBRE!D6," )")</f>
        <v>MES: ABRIL  ( 04 )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24</v>
      </c>
      <c r="E21" s="77">
        <f>SUM(E22+E23)</f>
        <v>0</v>
      </c>
      <c r="F21" s="77">
        <f>SUM(F22+F23)</f>
        <v>24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24</v>
      </c>
      <c r="E23" s="78">
        <f>SUM(BM18A!D114:D118)</f>
        <v>0</v>
      </c>
      <c r="F23" s="80">
        <f>SUM(BM18A!E114:E118)</f>
        <v>24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321"/>
      <c r="B25" s="317"/>
      <c r="C25" s="134" t="s">
        <v>92</v>
      </c>
      <c r="D25" s="80">
        <f>SUM(F25)</f>
        <v>14</v>
      </c>
      <c r="E25" s="100"/>
      <c r="F25" s="93">
        <v>14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92</v>
      </c>
      <c r="D27" s="80">
        <f t="shared" si="3"/>
        <v>10</v>
      </c>
      <c r="E27" s="92"/>
      <c r="F27" s="93">
        <v>10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92</v>
      </c>
      <c r="D31" s="80">
        <f t="shared" si="3"/>
        <v>0</v>
      </c>
      <c r="E31" s="92"/>
      <c r="F31" s="93"/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24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31</v>
      </c>
      <c r="C43" s="83">
        <f>BM18A!D158</f>
        <v>0</v>
      </c>
      <c r="D43" s="83">
        <f>BM18A!E158</f>
        <v>31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0</v>
      </c>
      <c r="C46" s="83">
        <f>BM18A!D148</f>
        <v>0</v>
      </c>
      <c r="D46" s="83">
        <f>BM18A!E148</f>
        <v>0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158</v>
      </c>
      <c r="C50" s="79">
        <f>BM18A!D177</f>
        <v>0</v>
      </c>
      <c r="D50" s="79">
        <f>BM18A!E177</f>
        <v>158</v>
      </c>
    </row>
    <row r="51" spans="1:4" ht="16.5" customHeight="1" x14ac:dyDescent="0.2">
      <c r="A51" s="223" t="s">
        <v>110</v>
      </c>
      <c r="B51" s="90">
        <f t="shared" si="4"/>
        <v>861</v>
      </c>
      <c r="C51" s="81">
        <f>BM18A!D206</f>
        <v>0</v>
      </c>
      <c r="D51" s="81">
        <f>BM18A!E206</f>
        <v>861</v>
      </c>
    </row>
    <row r="52" spans="1:4" ht="17.25" customHeight="1" x14ac:dyDescent="0.2">
      <c r="A52" s="91" t="s">
        <v>67</v>
      </c>
      <c r="B52" s="77">
        <f>SUM(B42:B51)</f>
        <v>1050</v>
      </c>
      <c r="C52" s="77">
        <f>SUM(C42:C51)</f>
        <v>0</v>
      </c>
      <c r="D52" s="77">
        <f>SUM(D42:D51)</f>
        <v>1050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16</v>
      </c>
      <c r="D60" s="84"/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2212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75" zoomScaleNormal="100" workbookViewId="0">
      <selection activeCell="H196" sqref="H196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EL CARMEN  ( 200183 )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ABRIL  ( 04 )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24</v>
      </c>
      <c r="D114" s="65"/>
      <c r="E114" s="114">
        <v>24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0</v>
      </c>
      <c r="D143" s="194"/>
      <c r="E143" s="247"/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34" t="s">
        <v>67</v>
      </c>
      <c r="B148" s="336"/>
      <c r="C148" s="159">
        <f>SUM(C143:C147)</f>
        <v>0</v>
      </c>
      <c r="D148" s="159">
        <f t="shared" ref="D148" si="16">SUM(D143:D147)</f>
        <v>0</v>
      </c>
      <c r="E148" s="263">
        <f>SUM(E143:E147)</f>
        <v>0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16</v>
      </c>
      <c r="D151" s="237"/>
      <c r="E151" s="113">
        <v>16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15</v>
      </c>
      <c r="D152" s="213"/>
      <c r="E152" s="114">
        <v>15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34" t="s">
        <v>67</v>
      </c>
      <c r="B158" s="336"/>
      <c r="C158" s="72">
        <f>SUM(C151:C157)</f>
        <v>31</v>
      </c>
      <c r="D158" s="212">
        <f t="shared" ref="D158:F158" si="18">SUM(D151:D157)</f>
        <v>0</v>
      </c>
      <c r="E158" s="256">
        <f t="shared" si="18"/>
        <v>31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34" t="s">
        <v>67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11</v>
      </c>
      <c r="D172" s="242"/>
      <c r="E172" s="113">
        <v>11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8</v>
      </c>
      <c r="D173" s="65"/>
      <c r="E173" s="114">
        <v>8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3</v>
      </c>
      <c r="D174" s="65"/>
      <c r="E174" s="114">
        <v>3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82</v>
      </c>
      <c r="D175" s="65"/>
      <c r="E175" s="114">
        <v>82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54</v>
      </c>
      <c r="D176" s="201"/>
      <c r="E176" s="270">
        <v>54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158</v>
      </c>
      <c r="D177" s="155">
        <f t="shared" ref="D177:E177" si="20">SUM(D172:D176)</f>
        <v>0</v>
      </c>
      <c r="E177" s="271">
        <f t="shared" si="20"/>
        <v>158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0</v>
      </c>
      <c r="D189" s="225"/>
      <c r="E189" s="266">
        <v>0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8</v>
      </c>
      <c r="D191" s="210"/>
      <c r="E191" s="255">
        <v>8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2</v>
      </c>
      <c r="D192" s="210"/>
      <c r="E192" s="255">
        <v>2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3</v>
      </c>
      <c r="D193" s="210"/>
      <c r="E193" s="255">
        <v>3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6</v>
      </c>
      <c r="D194" s="226"/>
      <c r="E194" s="277">
        <v>6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14</v>
      </c>
      <c r="D195" s="210"/>
      <c r="E195" s="255">
        <v>14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24</v>
      </c>
      <c r="D202" s="210"/>
      <c r="E202" s="255">
        <v>24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0</v>
      </c>
      <c r="D203" s="210"/>
      <c r="E203" s="255">
        <v>0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786</v>
      </c>
      <c r="D204" s="210">
        <v>0</v>
      </c>
      <c r="E204" s="255">
        <v>786</v>
      </c>
      <c r="F204" s="250">
        <v>0</v>
      </c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18</v>
      </c>
      <c r="D205" s="211">
        <v>0</v>
      </c>
      <c r="E205" s="255">
        <v>18</v>
      </c>
      <c r="F205" s="258">
        <v>0</v>
      </c>
    </row>
    <row r="206" spans="1:6" ht="15" customHeight="1" x14ac:dyDescent="0.2">
      <c r="A206" s="334" t="s">
        <v>67</v>
      </c>
      <c r="B206" s="336"/>
      <c r="C206" s="72">
        <f>SUM(C189:C205)</f>
        <v>861</v>
      </c>
      <c r="D206" s="212">
        <f t="shared" ref="D206:F206" si="24">SUM(D189:D205)</f>
        <v>0</v>
      </c>
      <c r="E206" s="256">
        <f t="shared" si="24"/>
        <v>861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tabSelected="1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ABRIL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2025-05-07T19:54:55Z</dcterms:modified>
  <cp:category/>
  <cp:contentStatus/>
</cp:coreProperties>
</file>