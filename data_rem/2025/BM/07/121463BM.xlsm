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21dsm-cf\Documents\REM 2025\CONOCO\JULIO\"/>
    </mc:Choice>
  </mc:AlternateContent>
  <xr:revisionPtr revIDLastSave="0" documentId="13_ncr:1_{0B3C99B5-D449-4C0F-957D-1AB04B292FD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<sst xmlns="http://schemas.openxmlformats.org/spreadsheetml/2006/main" count="452" uniqueCount="397">
  <si>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</si>
  <si>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</si>
  <si>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</si>
  <si>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</si>
  <si>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</si>
  <si>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</si>
  <si>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</si>
  <si>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</si>
  <si>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</si>
  <si>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</si>
  <si>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</si>
  <si>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</si>
  <si>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</si>
  <si>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</si>
  <si>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</si>
  <si>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</si>
  <si>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</si>
  <si>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</si>
  <si>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</si>
  <si>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</si>
  <si>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</si>
  <si>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</si>
  <si>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</si>
  <si>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</si>
  <si>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</si>
  <si>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</si>
  <si>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</si>
  <si>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</si>
  <si>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</si>
  <si>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</si>
  <si>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</si>
  <si>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</si>
  <si>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</si>
  <si>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</si>
  <si>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</si>
  <si>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</si>
  <si>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</si>
  <si>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</si>
  <si>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</si>
  <si>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</si>
  <si>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</si>
  <si>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</si>
  <si>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</si>
  <si>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</si>
  <si>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</si>
  <si>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</si>
  <si>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</si>
  <si>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</si>
  <si>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</si>
  <si>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</si>
  <si>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</si>
  <si>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</si>
  <si>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</si>
  <si>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</si>
  <si>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</si>
  <si>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</si>
  <si>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</si>
  <si>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</si>
  <si>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</si>
  <si>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</si>
  <si>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</si>
  <si>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</si>
  <si>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</si>
  <si>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</si>
  <si>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</si>
  <si>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</si>
  <si>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</si>
  <si>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</si>
  <si>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</si>
  <si>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</si>
  <si>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</si>
  <si>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</si>
  <si>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</si>
  <si>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</si>
  <si>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</si>
  <si>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</si>
  <si>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</si>
  <si>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</si>
  <si>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</si>
  <si>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</si>
  <si>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</si>
  <si>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</si>
  <si>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</si>
  <si>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</si>
  <si>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</si>
  <si>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</si>
  <si>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</si>
  <si>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</si>
  <si>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</si>
  <si>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</si>
  <si>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</si>
  <si>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</si>
  <si>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</si>
  <si>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</si>
  <si>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</si>
  <si>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</si>
  <si>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</si>
  <si>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</si>
  <si>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</si>
  <si>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</si>
  <si>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</si>
  <si>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</si>
  <si>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</si>
  <si>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</si>
  <si>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</si>
  <si>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</si>
  <si>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</si>
  <si>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</si>
  <si>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</si>
  <si>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</si>
  <si>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</si>
  <si>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</si>
  <si>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</si>
  <si>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</si>
  <si>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</si>
  <si>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</si>
  <si>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</si>
  <si>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</si>
  <si>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</si>
  <si>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</si>
  <si>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</si>
  <si>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</si>
  <si>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</si>
  <si>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</si>
  <si>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</si>
  <si>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</si>
  <si>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</si>
  <si>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</si>
  <si>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</si>
  <si>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</si>
  <si>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</si>
  <si>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</si>
  <si>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</si>
  <si>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</si>
  <si>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</si>
  <si>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</si>
  <si>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</si>
  <si>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</si>
  <si>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</si>
  <si>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</si>
  <si>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</si>
  <si>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</si>
  <si>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</si>
  <si>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</si>
  <si>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</si>
  <si>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</si>
  <si>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</si>
  <si>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</si>
  <si>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</si>
  <si>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</si>
  <si>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</si>
  <si>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</si>
  <si>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</si>
  <si>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</si>
  <si>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</si>
  <si>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</si>
  <si>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</si>
  <si>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</si>
  <si>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</si>
  <si>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</si>
  <si>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</si>
  <si>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</si>
  <si>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</si>
  <si>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</si>
  <si>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</si>
  <si>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</si>
  <si>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</si>
  <si>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</si>
  <si>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</si>
  <si>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</si>
  <si>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</si>
  <si>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</si>
  <si>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</si>
  <si>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</si>
  <si>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</si>
  <si>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</si>
  <si>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</si>
  <si>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</si>
  <si>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</si>
  <si>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</si>
  <si>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</si>
  <si>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</si>
  <si>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</si>
  <si>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</si>
  <si>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</si>
  <si>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</si>
  <si>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</si>
  <si>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</si>
  <si>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</si>
  <si>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</si>
  <si>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</si>
  <si>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</si>
  <si>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</si>
  <si>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</si>
  <si>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</si>
  <si>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</si>
  <si>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</si>
  <si>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</si>
  <si>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</si>
  <si>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</si>
  <si>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</si>
  <si>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</si>
  <si>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</si>
  <si>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</si>
  <si>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</si>
  <si>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</si>
  <si>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</si>
  <si>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</si>
  <si>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</si>
  <si>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</si>
  <si>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</si>
  <si>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</si>
  <si>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</si>
  <si>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</si>
  <si>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</si>
  <si>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</si>
  <si>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</si>
  <si>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</si>
  <si>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</si>
  <si>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</si>
  <si>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</si>
  <si>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</si>
  <si>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</si>
  <si>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</si>
  <si>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</si>
  <si>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</si>
  <si>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</si>
  <si>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</si>
  <si>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</si>
  <si>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</si>
  <si>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</si>
  <si>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</si>
  <si>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</si>
  <si>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</si>
  <si>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</si>
  <si>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</si>
  <si>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</si>
  <si>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</si>
  <si>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</si>
  <si>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</si>
  <si>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</si>
  <si>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</si>
  <si>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</si>
  <si>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</si>
  <si>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</si>
  <si>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</si>
  <si>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</si>
  <si>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</si>
  <si>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</si>
  <si>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</si>
  <si>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</si>
  <si>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</si>
  <si>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</si>
  <si>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</si>
  <si>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</si>
  <si>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</si>
  <si>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</si>
  <si>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</si>
  <si>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</si>
  <si>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</si>
  <si>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</si>
  <si>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</si>
  <si>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</si>
  <si>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</si>
  <si>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</si>
  <si>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</si>
  <si>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</si>
  <si>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</si>
  <si>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</si>
  <si>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</si>
  <si>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</si>
  <si>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</si>
  <si>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</si>
  <si>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</si>
  <si>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</si>
  <si>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</si>
  <si>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</si>
  <si>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</si>
  <si>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</si>
  <si>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</si>
  <si>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</si>
  <si>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</si>
  <si>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</si>
  <si>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</si>
  <si>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</si>
  <si>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</si>
  <si>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</si>
  <si>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</si>
  <si>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</si>
  <si>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</si>
  <si>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</si>
  <si>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</si>
  <si>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</si>
  <si>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</si>
  <si>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</si>
  <si>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</si>
  <si>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</si>
  <si>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</si>
  <si>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</si>
  <si>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</si>
  <si>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</si>
  <si>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</si>
  <si>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</si>
  <si>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</si>
  <si>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</si>
  <si>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</si>
  <si>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</si>
  <si>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</si>
  <si>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</si>
  <si>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</si>
  <si>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</si>
  <si>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</si>
  <si>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</si>
  <si>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</si>
  <si>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</si>
  <si>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</si>
  <si>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</si>
  <si>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</si>
  <si>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</si>
  <si>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</si>
  <si>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</si>
  <si>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</si>
  <si>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</si>
  <si>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</si>
  <si>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</si>
  <si>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</si>
  <si>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</si>
  <si>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</si>
  <si>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</si>
  <si>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</si>
  <si>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</si>
  <si>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</si>
  <si>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</si>
  <si>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</si>
  <si>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</si>
  <si>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</si>
  <si>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</si>
  <si>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</si>
  <si>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</si>
  <si>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</si>
  <si>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</si>
  <si>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</si>
  <si>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</si>
  <si>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</si>
  <si>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</si>
  <si>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</si>
  <si>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</si>
  <si>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</si>
  <si>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</si>
  <si>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</si>
  <si>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</si>
  <si>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</si>
  <si>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</si>
  <si>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</si>
  <si>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</si>
  <si>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</si>
  <si>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</si>
  <si>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</si>
  <si>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</si>
  <si>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</si>
  <si>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</si>
  <si>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</si>
  <si>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</si>
  <si>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</si>
  <si>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</si>
  <si>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</si>
  <si>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</si>
  <si>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</si>
  <si>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</si>
  <si>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</si>
  <si>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</si>
  <si>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</si>
  <si>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</si>
  <si>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</si>
  <si>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</si>
  <si>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</si>
  <si>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</si>
  <si>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</si>
  <si>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</si>
  <si>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</si>
  <si>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</si>
  <si>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</si>
  <si>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</si>
  <si>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</si>
  <si>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</si>
  <si>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</si>
  <si>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</si>
  <si>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</si>
  <si>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</si>
  <si>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</si>
  <si>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</si>
  <si>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</si>
  <si>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</si>
  <si>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</si>
  <si>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</si>
  <si>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</si>
  <si>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POSTA DE SALUD RURAL CONOCO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</si>
</sst>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4" sqref="B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6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/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POSTA DE SALUD RURAL CONOCO  ( 121463 )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91</v>
      </c>
      <c r="D25" s="80">
        <f>SUM(F25)</f>
        <v>0</v>
      </c>
      <c r="E25" s="100"/>
      <c r="F25" s="93"/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91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91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91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14</v>
      </c>
      <c r="C46" s="83">
        <f>BM18A!D148</f>
        <v>0</v>
      </c>
      <c r="D46" s="83">
        <f>BM18A!E148</f>
        <v>14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0</v>
      </c>
      <c r="C50" s="79">
        <f>BM18A!D177</f>
        <v>0</v>
      </c>
      <c r="D50" s="79">
        <f>BM18A!E177</f>
        <v>0</v>
      </c>
    </row>
    <row r="51" spans="1:4" ht="16.5" customHeight="1" x14ac:dyDescent="0.2">
      <c r="A51" s="223" t="s">
        <v>109</v>
      </c>
      <c r="B51" s="90">
        <f t="shared" si="4"/>
        <v>52</v>
      </c>
      <c r="C51" s="81">
        <f>BM18A!D206</f>
        <v>0</v>
      </c>
      <c r="D51" s="81">
        <f>BM18A!E206</f>
        <v>52</v>
      </c>
    </row>
    <row r="52" spans="1:4" ht="17.25" customHeight="1" x14ac:dyDescent="0.2">
      <c r="A52" s="91" t="s">
        <v>66</v>
      </c>
      <c r="B52" s="77">
        <f>SUM(B42:B51)</f>
        <v>66</v>
      </c>
      <c r="C52" s="77">
        <f>SUM(C42:C51)</f>
        <v>0</v>
      </c>
      <c r="D52" s="77">
        <f>SUM(D42:D51)</f>
        <v>66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/>
      <c r="D60" s="84"/>
    </row>
    <row r="61" spans="1:4" ht="16.5" customHeight="1" x14ac:dyDescent="0.2">
      <c r="A61" s="296"/>
      <c r="B61" s="12" t="s">
        <v>119</v>
      </c>
      <c r="C61" s="88"/>
      <c r="D61" s="85"/>
    </row>
    <row r="62" spans="1:4" ht="16.5" customHeight="1" x14ac:dyDescent="0.2">
      <c r="A62" s="297"/>
      <c r="B62" s="13" t="s">
        <v>120</v>
      </c>
      <c r="C62" s="89"/>
      <c r="D62" s="86"/>
    </row>
    <row r="96" spans="1:1" hidden="1" x14ac:dyDescent="0.2">
      <c r="A96" s="215">
        <f>SUM(D13:D37,B42:B52,B57,C60:C62)</f>
        <v>132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84" zoomScaleNormal="100" workbookViewId="0">
      <selection activeCell="E198" sqref="E19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POSTA DE SALUD RURAL CONOCO  ( 121463 )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66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66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5</v>
      </c>
      <c r="D143" s="194"/>
      <c r="E143" s="247">
        <v>5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319</v>
      </c>
      <c r="C145" s="73">
        <f>SUM(D145:E145)</f>
        <v>9</v>
      </c>
      <c r="D145" s="196"/>
      <c r="E145" s="261">
        <v>9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66</v>
      </c>
      <c r="B148" s="336"/>
      <c r="C148" s="159">
        <f>SUM(C143:C147)</f>
        <v>14</v>
      </c>
      <c r="D148" s="159">
        <f t="shared" ref="D148" si="16">SUM(D143:D147)</f>
        <v>0</v>
      </c>
      <c r="E148" s="263">
        <f>SUM(E143:E147)</f>
        <v>14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66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66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0</v>
      </c>
      <c r="D172" s="242"/>
      <c r="E172" s="113"/>
      <c r="F172" s="264"/>
    </row>
    <row r="173" spans="1:6" ht="15" customHeight="1" x14ac:dyDescent="0.2">
      <c r="A173" s="60"/>
      <c r="B173" s="121" t="s">
        <v>343</v>
      </c>
      <c r="C173" s="188">
        <f>SUM(D173:E173)</f>
        <v>0</v>
      </c>
      <c r="D173" s="65"/>
      <c r="E173" s="114"/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0</v>
      </c>
      <c r="D174" s="65"/>
      <c r="E174" s="114"/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/>
      <c r="F176" s="246"/>
    </row>
    <row r="177" spans="1:6" ht="15" customHeight="1" x14ac:dyDescent="0.2">
      <c r="A177" s="334" t="s">
        <v>66</v>
      </c>
      <c r="B177" s="336"/>
      <c r="C177" s="155">
        <f>SUM(C172:C176)</f>
        <v>0</v>
      </c>
      <c r="D177" s="155">
        <f t="shared" ref="D177:E177" si="20">SUM(D172:D176)</f>
        <v>0</v>
      </c>
      <c r="E177" s="271">
        <f t="shared" si="20"/>
        <v>0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22</v>
      </c>
      <c r="D189" s="225"/>
      <c r="E189" s="266">
        <v>22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3</v>
      </c>
      <c r="D191" s="210"/>
      <c r="E191" s="255">
        <v>3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0</v>
      </c>
      <c r="D192" s="210"/>
      <c r="E192" s="255"/>
      <c r="F192" s="246"/>
    </row>
    <row r="193" spans="1:6" ht="15" customHeight="1" x14ac:dyDescent="0.2">
      <c r="A193" s="62"/>
      <c r="B193" s="129" t="s">
        <v>359</v>
      </c>
      <c r="C193" s="188">
        <f t="shared" si="22"/>
        <v>0</v>
      </c>
      <c r="D193" s="210"/>
      <c r="E193" s="255"/>
      <c r="F193" s="246"/>
    </row>
    <row r="194" spans="1:6" ht="15" customHeight="1" x14ac:dyDescent="0.2">
      <c r="A194" s="203"/>
      <c r="B194" s="129" t="s">
        <v>360</v>
      </c>
      <c r="C194" s="199">
        <f t="shared" si="22"/>
        <v>0</v>
      </c>
      <c r="D194" s="226"/>
      <c r="E194" s="277"/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11</v>
      </c>
      <c r="D202" s="210"/>
      <c r="E202" s="255">
        <v>11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/>
      <c r="E203" s="255"/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16</v>
      </c>
      <c r="D204" s="210"/>
      <c r="E204" s="255">
        <v>16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0</v>
      </c>
      <c r="D205" s="211"/>
      <c r="E205" s="255"/>
      <c r="F205" s="258"/>
    </row>
    <row r="206" spans="1:6" ht="15" customHeight="1" x14ac:dyDescent="0.2">
      <c r="A206" s="334" t="s">
        <v>66</v>
      </c>
      <c r="B206" s="336"/>
      <c r="C206" s="72">
        <f>SUM(C189:C205)</f>
        <v>52</v>
      </c>
      <c r="D206" s="212">
        <f t="shared" ref="D206:F206" si="24">SUM(D189:D205)</f>
        <v>0</v>
      </c>
      <c r="E206" s="256">
        <f t="shared" si="24"/>
        <v>52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POSTA DE SALUD RURAL CONOCO - 121463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2025-08-06T19:47:25Z</dcterms:modified>
  <cp:category/>
  <cp:contentStatus/>
</cp:coreProperties>
</file>