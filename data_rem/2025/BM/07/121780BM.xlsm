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LAR\JULIO\"/>
    </mc:Choice>
  </mc:AlternateContent>
  <xr:revisionPtr revIDLastSave="0" documentId="13_ncr:1_{1B843977-9122-4AAD-A643-5A9E448AEE7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<sst xmlns="http://schemas.openxmlformats.org/spreadsheetml/2006/main" count="452" uniqueCount="397">
  <si>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</si>
  <si>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</si>
  <si>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</si>
  <si>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</si>
  <si>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</si>
  <si>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</si>
  <si>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JULIO</t>
  </si>
  <si>
    <t>AÑO:</t>
  </si>
  <si>
    <t xml:space="preserve"> </t>
  </si>
  <si>
    <t>Versión 1.2 Marzo 2025</t>
  </si>
  <si>
    <t>Director/a Servicio de Salud o Director/a Establecimiento</t>
  </si>
  <si>
    <t>JAVIERA AGUIRRE HUECHUCURA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</si>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</sst>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3" sqref="I3:N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6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8" zoomScale="77" zoomScaleNormal="77" workbookViewId="0">
      <selection activeCell="E19" sqref="E19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63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64</v>
      </c>
      <c r="B10" s="300"/>
      <c r="C10" s="300"/>
    </row>
    <row r="11" spans="1:6" ht="12.75" customHeight="1" x14ac:dyDescent="0.2">
      <c r="A11" s="303" t="s">
        <v>65</v>
      </c>
      <c r="B11" s="304"/>
      <c r="C11" s="305"/>
      <c r="D11" s="293" t="s">
        <v>66</v>
      </c>
      <c r="E11" s="293" t="s">
        <v>67</v>
      </c>
      <c r="F11" s="296" t="s">
        <v>68</v>
      </c>
    </row>
    <row r="12" spans="1:6" ht="21.75" customHeight="1" x14ac:dyDescent="0.2">
      <c r="A12" s="306"/>
      <c r="B12" s="307"/>
      <c r="C12" s="308"/>
      <c r="D12" s="295"/>
      <c r="E12" s="295" t="s">
        <v>69</v>
      </c>
      <c r="F12" s="297" t="s">
        <v>69</v>
      </c>
    </row>
    <row r="13" spans="1:6" ht="20.25" customHeight="1" x14ac:dyDescent="0.2">
      <c r="A13" s="43" t="s">
        <v>70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11" t="s">
        <v>72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1" t="s">
        <v>74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1" t="s">
        <v>76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1" t="s">
        <v>78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1" t="s">
        <v>80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13" t="s">
        <v>82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7" t="s">
        <v>84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9" t="s">
        <v>87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88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89</v>
      </c>
      <c r="C24" s="180" t="s">
        <v>90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91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294"/>
      <c r="B26" s="309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91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91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91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91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91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6" t="s">
        <v>99</v>
      </c>
      <c r="B40" s="296" t="s">
        <v>66</v>
      </c>
      <c r="C40" s="293" t="s">
        <v>67</v>
      </c>
      <c r="D40" s="296" t="s">
        <v>68</v>
      </c>
    </row>
    <row r="41" spans="1:6" ht="25.5" customHeight="1" x14ac:dyDescent="0.2">
      <c r="A41" s="297"/>
      <c r="B41" s="324"/>
      <c r="C41" s="295" t="s">
        <v>69</v>
      </c>
      <c r="D41" s="297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28</v>
      </c>
      <c r="C50" s="79">
        <f>BM18A!D177</f>
        <v>0</v>
      </c>
      <c r="D50" s="79">
        <f>BM18A!E177</f>
        <v>28</v>
      </c>
    </row>
    <row r="51" spans="1:4" ht="16.5" customHeight="1" x14ac:dyDescent="0.2">
      <c r="A51" s="223" t="s">
        <v>109</v>
      </c>
      <c r="B51" s="90">
        <f t="shared" si="4"/>
        <v>339</v>
      </c>
      <c r="C51" s="81">
        <f>BM18A!D206</f>
        <v>0</v>
      </c>
      <c r="D51" s="81">
        <f>BM18A!E206</f>
        <v>339</v>
      </c>
    </row>
    <row r="52" spans="1:4" ht="17.25" customHeight="1" x14ac:dyDescent="0.2">
      <c r="A52" s="91" t="s">
        <v>66</v>
      </c>
      <c r="B52" s="77">
        <f>SUM(B42:B51)</f>
        <v>367</v>
      </c>
      <c r="C52" s="77">
        <f>SUM(C42:C51)</f>
        <v>0</v>
      </c>
      <c r="D52" s="77">
        <f>SUM(D42:D51)</f>
        <v>367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32" t="s">
        <v>111</v>
      </c>
      <c r="B55" s="330" t="s">
        <v>66</v>
      </c>
    </row>
    <row r="56" spans="1:4" x14ac:dyDescent="0.2">
      <c r="A56" s="333"/>
      <c r="B56" s="33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328" t="s">
        <v>114</v>
      </c>
      <c r="B59" s="329"/>
      <c r="C59" s="103" t="s">
        <v>115</v>
      </c>
      <c r="D59" s="104" t="s">
        <v>116</v>
      </c>
    </row>
    <row r="60" spans="1:4" ht="16.5" customHeight="1" x14ac:dyDescent="0.2">
      <c r="A60" s="325" t="s">
        <v>117</v>
      </c>
      <c r="B60" s="208" t="s">
        <v>118</v>
      </c>
      <c r="C60" s="87">
        <v>0</v>
      </c>
      <c r="D60" s="84">
        <v>0</v>
      </c>
    </row>
    <row r="61" spans="1:4" ht="16.5" customHeight="1" x14ac:dyDescent="0.2">
      <c r="A61" s="326"/>
      <c r="B61" s="12" t="s">
        <v>119</v>
      </c>
      <c r="C61" s="88"/>
      <c r="D61" s="85"/>
    </row>
    <row r="62" spans="1:4" ht="16.5" customHeight="1" x14ac:dyDescent="0.2">
      <c r="A62" s="327"/>
      <c r="B62" s="13" t="s">
        <v>120</v>
      </c>
      <c r="C62" s="89"/>
      <c r="D62" s="86"/>
    </row>
    <row r="96" spans="1:1" hidden="1" x14ac:dyDescent="0.2">
      <c r="A96" s="215">
        <f>SUM(D13:D37,B42:B52,B57,C60:C62)</f>
        <v>734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5" zoomScale="80" zoomScaleNormal="80" workbookViewId="0">
      <selection activeCell="C188" sqref="C188:F188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121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68" t="s">
        <v>1</v>
      </c>
      <c r="B10" s="351" t="s">
        <v>65</v>
      </c>
      <c r="C10" s="341" t="s">
        <v>66</v>
      </c>
      <c r="D10" s="351" t="s">
        <v>67</v>
      </c>
      <c r="E10" s="357" t="s">
        <v>68</v>
      </c>
      <c r="F10" s="351" t="s">
        <v>122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123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66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138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66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179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66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78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66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80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66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222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66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/>
      <c r="E83" s="114">
        <v>0</v>
      </c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66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242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243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298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99</v>
      </c>
      <c r="C121" s="351" t="s">
        <v>69</v>
      </c>
      <c r="D121" s="351" t="s">
        <v>67</v>
      </c>
      <c r="E121" s="357" t="s">
        <v>68</v>
      </c>
      <c r="F121" s="341" t="s">
        <v>122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299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66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304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66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314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0</v>
      </c>
      <c r="D143" s="194"/>
      <c r="E143" s="247">
        <v>0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319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66</v>
      </c>
      <c r="B148" s="34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322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66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333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66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338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66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341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2</v>
      </c>
      <c r="D172" s="242"/>
      <c r="E172" s="113">
        <v>2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1</v>
      </c>
      <c r="D173" s="65"/>
      <c r="E173" s="114">
        <v>1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2</v>
      </c>
      <c r="D174" s="65"/>
      <c r="E174" s="114">
        <v>2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23</v>
      </c>
      <c r="D175" s="65"/>
      <c r="E175" s="114">
        <v>23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45" t="s">
        <v>66</v>
      </c>
      <c r="B177" s="346"/>
      <c r="C177" s="155">
        <f>SUM(C172:C176)</f>
        <v>28</v>
      </c>
      <c r="D177" s="155">
        <f t="shared" ref="D177:E177" si="20">SUM(D172:D176)</f>
        <v>0</v>
      </c>
      <c r="E177" s="271">
        <f t="shared" si="20"/>
        <v>28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347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66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109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0</v>
      </c>
      <c r="D189" s="225"/>
      <c r="E189" s="266">
        <v>0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34</v>
      </c>
      <c r="D191" s="210"/>
      <c r="E191" s="255">
        <v>34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27</v>
      </c>
      <c r="D192" s="210"/>
      <c r="E192" s="255">
        <v>27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12</v>
      </c>
      <c r="D193" s="210"/>
      <c r="E193" s="255">
        <v>12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0</v>
      </c>
      <c r="D194" s="226"/>
      <c r="E194" s="277">
        <v>0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94</v>
      </c>
      <c r="D195" s="210"/>
      <c r="E195" s="255">
        <v>94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43</v>
      </c>
      <c r="D202" s="210"/>
      <c r="E202" s="255">
        <v>43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3</v>
      </c>
      <c r="D203" s="210"/>
      <c r="E203" s="255">
        <v>3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115</v>
      </c>
      <c r="D204" s="210"/>
      <c r="E204" s="255">
        <v>115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11</v>
      </c>
      <c r="D205" s="211"/>
      <c r="E205" s="255">
        <v>11</v>
      </c>
      <c r="F205" s="258"/>
    </row>
    <row r="206" spans="1:6" ht="15" customHeight="1" x14ac:dyDescent="0.2">
      <c r="A206" s="345" t="s">
        <v>66</v>
      </c>
      <c r="B206" s="346"/>
      <c r="C206" s="72">
        <f>SUM(C189:C205)</f>
        <v>339</v>
      </c>
      <c r="D206" s="212">
        <f t="shared" ref="D206:F206" si="24">SUM(D189:D205)</f>
        <v>0</v>
      </c>
      <c r="E206" s="256">
        <f t="shared" si="24"/>
        <v>339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2025-08-06T19:27:38Z</dcterms:modified>
  <cp:category/>
  <cp:contentStatus/>
</cp:coreProperties>
</file>