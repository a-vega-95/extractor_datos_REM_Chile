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21dsm-cf\Documents\REM 2025\COLLIMALLIN\JULIO\"/>
    </mc:Choice>
  </mc:AlternateContent>
  <xr:revisionPtr revIDLastSave="0" documentId="13_ncr:1_{94BC672C-D639-4A88-9421-59834822D110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<sst xmlns="http://schemas.openxmlformats.org/spreadsheetml/2006/main" count="452" uniqueCount="397">
  <si>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</si>
  <si>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</si>
  <si>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</si>
  <si>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</si>
  <si>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</si>
  <si>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</si>
  <si>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</si>
  <si>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</si>
  <si>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</si>
  <si>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</si>
  <si>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</si>
  <si>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</si>
  <si>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</si>
  <si>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</si>
  <si>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</si>
  <si>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</si>
  <si>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</si>
  <si>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</si>
  <si>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</si>
  <si>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</si>
  <si>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</si>
  <si>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</si>
  <si>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</si>
  <si>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</si>
  <si>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</si>
  <si>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</si>
  <si>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</si>
  <si>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</si>
  <si>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</si>
  <si>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</si>
  <si>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</si>
  <si>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</si>
  <si>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</si>
  <si>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</si>
  <si>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</si>
  <si>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</si>
  <si>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</si>
  <si>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</si>
  <si>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</si>
  <si>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</si>
  <si>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</si>
  <si>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</si>
  <si>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</si>
  <si>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</si>
  <si>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</si>
  <si>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</si>
  <si>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</si>
  <si>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</si>
  <si>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</si>
  <si>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</si>
  <si>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</si>
  <si>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</si>
  <si>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</si>
  <si>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</si>
  <si>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</si>
  <si>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</si>
  <si>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</si>
  <si>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</si>
  <si>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</si>
  <si>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</si>
  <si>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</si>
  <si>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</si>
  <si>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</si>
  <si>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</si>
  <si>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</si>
  <si>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</si>
  <si>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</si>
  <si>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</si>
  <si>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</si>
  <si>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</si>
  <si>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</si>
  <si>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</si>
  <si>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</si>
  <si>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</si>
  <si>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</si>
  <si>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</si>
  <si>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</si>
  <si>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</si>
  <si>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</si>
  <si>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</si>
  <si>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</si>
  <si>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</si>
  <si>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</si>
  <si>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</si>
  <si>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</si>
  <si>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</si>
  <si>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</si>
  <si>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</si>
  <si>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</si>
  <si>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</si>
  <si>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</si>
  <si>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</si>
  <si>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</si>
  <si>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</si>
  <si>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</si>
  <si>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</si>
  <si>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</si>
  <si>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</si>
  <si>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</si>
  <si>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</si>
  <si>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</si>
  <si>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</si>
  <si>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</si>
  <si>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</si>
  <si>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</si>
  <si>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</si>
  <si>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</si>
  <si>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</si>
  <si>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</si>
  <si>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</si>
  <si>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</si>
  <si>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</si>
  <si>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</si>
  <si>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</si>
  <si>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</si>
  <si>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</si>
  <si>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</si>
  <si>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</si>
  <si>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</si>
  <si>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</si>
  <si>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</si>
  <si>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</si>
  <si>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</si>
  <si>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</si>
  <si>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</si>
  <si>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</si>
  <si>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</si>
  <si>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</si>
  <si>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</si>
  <si>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</si>
  <si>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</si>
  <si>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</si>
  <si>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</si>
  <si>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</si>
  <si>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</si>
  <si>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</si>
  <si>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</si>
  <si>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</si>
  <si>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</si>
  <si>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</si>
  <si>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</si>
  <si>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</si>
  <si>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</si>
  <si>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</si>
  <si>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</si>
  <si>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</si>
  <si>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</si>
  <si>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</si>
  <si>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</si>
  <si>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</si>
  <si>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</si>
  <si>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</si>
  <si>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</si>
  <si>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</si>
  <si>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</si>
  <si>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</si>
  <si>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</si>
  <si>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</si>
  <si>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</si>
  <si>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</si>
  <si>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</si>
  <si>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</si>
  <si>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</si>
  <si>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</si>
  <si>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</si>
  <si>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</si>
  <si>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</si>
  <si>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</si>
  <si>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</si>
  <si>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</si>
  <si>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</si>
  <si>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</si>
  <si>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</si>
  <si>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</si>
  <si>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</si>
  <si>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</si>
  <si>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</si>
  <si>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</si>
  <si>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</si>
  <si>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</si>
  <si>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</si>
  <si>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</si>
  <si>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</si>
  <si>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</si>
  <si>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</si>
  <si>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</si>
  <si>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</si>
  <si>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</si>
  <si>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</si>
  <si>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</si>
  <si>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</si>
  <si>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</si>
  <si>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</si>
  <si>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</si>
  <si>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</si>
  <si>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</si>
  <si>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</si>
  <si>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</si>
  <si>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</si>
  <si>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</si>
  <si>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</si>
  <si>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</si>
  <si>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</si>
  <si>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</si>
  <si>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</si>
  <si>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</si>
  <si>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</si>
  <si>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</si>
  <si>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</si>
  <si>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</si>
  <si>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</si>
  <si>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</si>
  <si>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</si>
  <si>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</si>
  <si>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</si>
  <si>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</si>
  <si>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</si>
  <si>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</si>
  <si>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</si>
  <si>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</si>
  <si>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</si>
  <si>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</si>
  <si>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</si>
  <si>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</si>
  <si>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</si>
  <si>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</si>
  <si>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</si>
  <si>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</si>
  <si>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</si>
  <si>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</si>
  <si>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</si>
  <si>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</si>
  <si>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</si>
  <si>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</si>
  <si>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</si>
  <si>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</si>
  <si>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</si>
  <si>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</si>
  <si>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</si>
  <si>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</si>
  <si>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</si>
  <si>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</si>
  <si>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</si>
  <si>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</si>
  <si>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</si>
  <si>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</si>
  <si>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</si>
  <si>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</si>
  <si>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</si>
  <si>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</si>
  <si>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</si>
  <si>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</si>
  <si>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</si>
  <si>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</si>
  <si>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</si>
  <si>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</si>
  <si>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</si>
  <si>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</si>
  <si>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</si>
  <si>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</si>
  <si>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</si>
  <si>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</si>
  <si>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</si>
  <si>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</si>
  <si>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</si>
  <si>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</si>
  <si>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</si>
  <si>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</si>
  <si>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</si>
  <si>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</si>
  <si>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</si>
  <si>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</si>
  <si>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</si>
  <si>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</si>
  <si>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</si>
  <si>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</si>
  <si>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</si>
  <si>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</si>
  <si>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</si>
  <si>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</si>
  <si>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</si>
  <si>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</si>
  <si>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</si>
  <si>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</si>
  <si>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</si>
  <si>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</si>
  <si>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</si>
  <si>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</si>
  <si>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</si>
  <si>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</si>
  <si>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</si>
  <si>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</si>
  <si>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</si>
  <si>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</si>
  <si>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</si>
  <si>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</si>
  <si>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</si>
  <si>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</si>
  <si>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</si>
  <si>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</si>
  <si>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</si>
  <si>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</si>
  <si>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</si>
  <si>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</si>
  <si>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</si>
  <si>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</si>
  <si>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</si>
  <si>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</si>
  <si>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</si>
  <si>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</si>
  <si>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</si>
  <si>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</si>
  <si>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</si>
  <si>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</si>
  <si>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</si>
  <si>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</si>
  <si>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</si>
  <si>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</si>
  <si>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</si>
  <si>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</si>
  <si>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</si>
  <si>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</si>
  <si>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</si>
  <si>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</si>
  <si>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</si>
  <si>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</si>
  <si>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</si>
  <si>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</si>
  <si>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</si>
  <si>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</si>
  <si>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</si>
  <si>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</si>
  <si>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</si>
  <si>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</si>
  <si>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</si>
  <si>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</si>
  <si>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</si>
  <si>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</si>
  <si>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</si>
  <si>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</si>
  <si>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</si>
  <si>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</si>
  <si>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</si>
  <si>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</si>
  <si>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</si>
  <si>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</si>
  <si>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</si>
  <si>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</si>
  <si>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</si>
  <si>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</si>
  <si>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</si>
  <si>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</si>
  <si>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</si>
  <si>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</si>
  <si>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</si>
  <si>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</si>
  <si>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</si>
  <si>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</si>
  <si>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</si>
  <si>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</si>
  <si>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</si>
  <si>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</si>
  <si>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</si>
  <si>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</si>
  <si>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</si>
  <si>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</si>
  <si>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</si>
  <si>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</si>
  <si>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</si>
  <si>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</si>
  <si>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</si>
  <si>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</si>
  <si>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</si>
  <si>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</si>
  <si>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</si>
  <si>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</si>
  <si>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</si>
  <si>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</si>
  <si>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</si>
  <si>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</si>
  <si>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</si>
  <si>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</si>
  <si>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</si>
  <si>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</si>
  <si>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</si>
  <si>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</si>
  <si>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</si>
  <si>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</si>
  <si>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</si>
  <si>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</si>
  <si>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</si>
  <si>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</si>
  <si>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</si>
  <si>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</si>
  <si>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</si>
  <si>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</si>
  <si>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POSTA DE SALUD RURAL COLLIMALLIN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</si>
</sst>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4" sqref="B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6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4" zoomScaleNormal="100" workbookViewId="0"/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63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64</v>
      </c>
      <c r="B10" s="300"/>
      <c r="C10" s="300"/>
    </row>
    <row r="11" spans="1:6" ht="12.75" customHeight="1" x14ac:dyDescent="0.2">
      <c r="A11" s="303" t="s">
        <v>65</v>
      </c>
      <c r="B11" s="304"/>
      <c r="C11" s="305"/>
      <c r="D11" s="293" t="s">
        <v>66</v>
      </c>
      <c r="E11" s="293" t="s">
        <v>67</v>
      </c>
      <c r="F11" s="296" t="s">
        <v>68</v>
      </c>
    </row>
    <row r="12" spans="1:6" ht="21.75" customHeight="1" x14ac:dyDescent="0.2">
      <c r="A12" s="306"/>
      <c r="B12" s="307"/>
      <c r="C12" s="308"/>
      <c r="D12" s="295"/>
      <c r="E12" s="295" t="s">
        <v>69</v>
      </c>
      <c r="F12" s="297" t="s">
        <v>69</v>
      </c>
    </row>
    <row r="13" spans="1:6" ht="20.25" customHeight="1" x14ac:dyDescent="0.2">
      <c r="A13" s="43" t="s">
        <v>70</v>
      </c>
      <c r="B13" s="298"/>
      <c r="C13" s="299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 x14ac:dyDescent="0.2">
      <c r="A14" s="44" t="s">
        <v>71</v>
      </c>
      <c r="B14" s="311" t="s">
        <v>72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1" t="s">
        <v>74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1" t="s">
        <v>76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1" t="s">
        <v>78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1" t="s">
        <v>80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13" t="s">
        <v>82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7" t="s">
        <v>84</v>
      </c>
      <c r="C20" s="318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 x14ac:dyDescent="0.2">
      <c r="A21" s="43" t="s">
        <v>85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9" t="s">
        <v>87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88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89</v>
      </c>
      <c r="C24" s="180" t="s">
        <v>90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91</v>
      </c>
      <c r="D25" s="80">
        <f>SUM(F25)</f>
        <v>0</v>
      </c>
      <c r="E25" s="100"/>
      <c r="F25" s="93"/>
    </row>
    <row r="26" spans="1:6" ht="17.25" customHeight="1" x14ac:dyDescent="0.2">
      <c r="A26" s="294"/>
      <c r="B26" s="309" t="s">
        <v>92</v>
      </c>
      <c r="C26" s="133" t="s">
        <v>90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91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93</v>
      </c>
      <c r="C28" s="133" t="s">
        <v>90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91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94</v>
      </c>
      <c r="C30" s="133" t="s">
        <v>90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91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6" t="s">
        <v>99</v>
      </c>
      <c r="B40" s="296" t="s">
        <v>66</v>
      </c>
      <c r="C40" s="293" t="s">
        <v>67</v>
      </c>
      <c r="D40" s="296" t="s">
        <v>68</v>
      </c>
    </row>
    <row r="41" spans="1:6" ht="25.5" customHeight="1" x14ac:dyDescent="0.2">
      <c r="A41" s="297"/>
      <c r="B41" s="324"/>
      <c r="C41" s="295" t="s">
        <v>69</v>
      </c>
      <c r="D41" s="297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10</v>
      </c>
      <c r="C46" s="83">
        <f>BM18A!D148</f>
        <v>0</v>
      </c>
      <c r="D46" s="83">
        <f>BM18A!E148</f>
        <v>10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4</v>
      </c>
      <c r="C50" s="79">
        <f>BM18A!D177</f>
        <v>0</v>
      </c>
      <c r="D50" s="79">
        <f>BM18A!E177</f>
        <v>4</v>
      </c>
    </row>
    <row r="51" spans="1:4" ht="16.5" customHeight="1" x14ac:dyDescent="0.2">
      <c r="A51" s="223" t="s">
        <v>109</v>
      </c>
      <c r="B51" s="90">
        <f t="shared" si="4"/>
        <v>123</v>
      </c>
      <c r="C51" s="81">
        <f>BM18A!D206</f>
        <v>0</v>
      </c>
      <c r="D51" s="81">
        <f>BM18A!E206</f>
        <v>123</v>
      </c>
    </row>
    <row r="52" spans="1:4" ht="17.25" customHeight="1" x14ac:dyDescent="0.2">
      <c r="A52" s="91" t="s">
        <v>66</v>
      </c>
      <c r="B52" s="77">
        <f>SUM(B42:B51)</f>
        <v>137</v>
      </c>
      <c r="C52" s="77">
        <f>SUM(C42:C51)</f>
        <v>0</v>
      </c>
      <c r="D52" s="77">
        <f>SUM(D42:D51)</f>
        <v>137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32" t="s">
        <v>111</v>
      </c>
      <c r="B55" s="330" t="s">
        <v>66</v>
      </c>
    </row>
    <row r="56" spans="1:4" x14ac:dyDescent="0.2">
      <c r="A56" s="333"/>
      <c r="B56" s="33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328" t="s">
        <v>114</v>
      </c>
      <c r="B59" s="329"/>
      <c r="C59" s="103" t="s">
        <v>115</v>
      </c>
      <c r="D59" s="104" t="s">
        <v>116</v>
      </c>
    </row>
    <row r="60" spans="1:4" ht="16.5" customHeight="1" x14ac:dyDescent="0.2">
      <c r="A60" s="325" t="s">
        <v>117</v>
      </c>
      <c r="B60" s="208" t="s">
        <v>118</v>
      </c>
      <c r="C60" s="87"/>
      <c r="D60" s="84"/>
    </row>
    <row r="61" spans="1:4" ht="16.5" customHeight="1" x14ac:dyDescent="0.2">
      <c r="A61" s="326"/>
      <c r="B61" s="12" t="s">
        <v>119</v>
      </c>
      <c r="C61" s="88"/>
      <c r="D61" s="85"/>
    </row>
    <row r="62" spans="1:4" ht="16.5" customHeight="1" x14ac:dyDescent="0.2">
      <c r="A62" s="327"/>
      <c r="B62" s="13" t="s">
        <v>120</v>
      </c>
      <c r="C62" s="89"/>
      <c r="D62" s="86"/>
    </row>
    <row r="96" spans="1:1" hidden="1" x14ac:dyDescent="0.2">
      <c r="A96" s="215">
        <f>SUM(D13:D37,B42:B52,B57,C60:C62)</f>
        <v>276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73" zoomScaleNormal="100" workbookViewId="0">
      <selection activeCell="D204" sqref="D20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121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68" t="s">
        <v>1</v>
      </c>
      <c r="B10" s="351" t="s">
        <v>65</v>
      </c>
      <c r="C10" s="341" t="s">
        <v>66</v>
      </c>
      <c r="D10" s="351" t="s">
        <v>67</v>
      </c>
      <c r="E10" s="357" t="s">
        <v>68</v>
      </c>
      <c r="F10" s="351" t="s">
        <v>122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123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66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138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66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179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66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78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66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80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66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222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66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1</v>
      </c>
      <c r="D83" s="65"/>
      <c r="E83" s="114">
        <v>1</v>
      </c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66</v>
      </c>
      <c r="B88" s="34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 x14ac:dyDescent="0.2">
      <c r="A89" s="345" t="s">
        <v>242</v>
      </c>
      <c r="B89" s="34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243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99</v>
      </c>
      <c r="C121" s="351" t="s">
        <v>69</v>
      </c>
      <c r="D121" s="351" t="s">
        <v>67</v>
      </c>
      <c r="E121" s="357" t="s">
        <v>68</v>
      </c>
      <c r="F121" s="341" t="s">
        <v>122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299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66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304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66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314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6</v>
      </c>
      <c r="D143" s="194"/>
      <c r="E143" s="247">
        <v>6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319</v>
      </c>
      <c r="C145" s="73">
        <f>SUM(D145:E145)</f>
        <v>4</v>
      </c>
      <c r="D145" s="196"/>
      <c r="E145" s="261">
        <v>4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66</v>
      </c>
      <c r="B148" s="346"/>
      <c r="C148" s="159">
        <f>SUM(C143:C147)</f>
        <v>10</v>
      </c>
      <c r="D148" s="159">
        <f t="shared" ref="D148" si="16">SUM(D143:D147)</f>
        <v>0</v>
      </c>
      <c r="E148" s="263">
        <f>SUM(E143:E147)</f>
        <v>10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322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66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333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66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338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66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341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0</v>
      </c>
      <c r="D172" s="242"/>
      <c r="E172" s="113"/>
      <c r="F172" s="264"/>
    </row>
    <row r="173" spans="1:6" ht="15" customHeight="1" x14ac:dyDescent="0.2">
      <c r="A173" s="60"/>
      <c r="B173" s="121" t="s">
        <v>343</v>
      </c>
      <c r="C173" s="188">
        <f>SUM(D173:E173)</f>
        <v>0</v>
      </c>
      <c r="D173" s="65"/>
      <c r="E173" s="114"/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0</v>
      </c>
      <c r="D174" s="65"/>
      <c r="E174" s="114"/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4</v>
      </c>
      <c r="D175" s="65"/>
      <c r="E175" s="114">
        <v>4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/>
      <c r="F176" s="246"/>
    </row>
    <row r="177" spans="1:6" ht="15" customHeight="1" x14ac:dyDescent="0.2">
      <c r="A177" s="345" t="s">
        <v>66</v>
      </c>
      <c r="B177" s="346"/>
      <c r="C177" s="155">
        <f>SUM(C172:C176)</f>
        <v>4</v>
      </c>
      <c r="D177" s="155">
        <f t="shared" ref="D177:E177" si="20">SUM(D172:D176)</f>
        <v>0</v>
      </c>
      <c r="E177" s="271">
        <f t="shared" si="20"/>
        <v>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347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66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109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18</v>
      </c>
      <c r="D189" s="225"/>
      <c r="E189" s="266">
        <v>18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36</v>
      </c>
      <c r="D191" s="210"/>
      <c r="E191" s="255">
        <v>36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2</v>
      </c>
      <c r="D192" s="210"/>
      <c r="E192" s="255">
        <v>2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2</v>
      </c>
      <c r="D193" s="210"/>
      <c r="E193" s="255">
        <v>2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0</v>
      </c>
      <c r="D194" s="226"/>
      <c r="E194" s="277"/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29</v>
      </c>
      <c r="D202" s="210"/>
      <c r="E202" s="255">
        <v>29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36</v>
      </c>
      <c r="D204" s="210"/>
      <c r="E204" s="255">
        <v>36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0</v>
      </c>
      <c r="D205" s="211"/>
      <c r="E205" s="255"/>
      <c r="F205" s="258"/>
    </row>
    <row r="206" spans="1:6" ht="15" customHeight="1" x14ac:dyDescent="0.2">
      <c r="A206" s="345" t="s">
        <v>66</v>
      </c>
      <c r="B206" s="346"/>
      <c r="C206" s="72">
        <f>SUM(C189:C205)</f>
        <v>123</v>
      </c>
      <c r="D206" s="212">
        <f t="shared" ref="D206:F206" si="24">SUM(D189:D205)</f>
        <v>0</v>
      </c>
      <c r="E206" s="256">
        <f t="shared" si="24"/>
        <v>123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2025-08-06T19:37:04Z</dcterms:modified>
  <cp:category/>
  <cp:contentStatus/>
</cp:coreProperties>
</file>