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marta.vega\Documents\compartidos\REM 2025\309 PUEBLO NUEVO\JULIO\"/>
    </mc:Choice>
  </mc:AlternateContent>
  <xr:revisionPtr revIDLastSave="0" documentId="13_ncr:1_{6501EFF4-3D6D-4A70-9A2D-251FAC9B582A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<sst xmlns="http://schemas.openxmlformats.org/spreadsheetml/2006/main" count="452" uniqueCount="397">
  <si>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</si>
  <si>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</si>
  <si>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</si>
  <si>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</si>
  <si>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</si>
  <si>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FAMILIAR PUEBLO NUEVO</t>
  </si>
  <si>
    <t>MES:</t>
  </si>
  <si>
    <t>JULIO</t>
  </si>
  <si>
    <t>AÑO:</t>
  </si>
  <si>
    <t xml:space="preserve"> </t>
  </si>
  <si>
    <t>Versión 1.2 Marzo 2025</t>
  </si>
  <si>
    <t>Director/a Servicio de Salud o Director/a Establecimiento</t>
  </si>
  <si>
    <t>SRA.MARCELA ELGUETA HORN</t>
  </si>
  <si>
    <t>ENERO</t>
  </si>
  <si>
    <t>Establecimiento de Mayor Complejidad (EMAYC)</t>
  </si>
  <si>
    <t>SERVICIO DE SALUD</t>
  </si>
  <si>
    <t>Jefe/a de Estadísticas</t>
  </si>
  <si>
    <t>SRA.EVELYN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</si>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</sst>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8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0" xfId="125" quotePrefix="1" applyFont="1" applyAlignment="1">
      <alignment horizontal="center" vertical="center" wrapText="1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tabSelected="1" zoomScaleNormal="100" workbookViewId="0">
      <selection activeCell="F19" sqref="F19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3</v>
      </c>
      <c r="G3" s="38">
        <v>0</v>
      </c>
      <c r="H3" s="39">
        <v>9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0</v>
      </c>
      <c r="D6" s="172">
        <v>7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 x14ac:dyDescent="0.15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27</v>
      </c>
      <c r="AB15" s="35" t="s">
        <v>28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29</v>
      </c>
      <c r="AB16" s="35" t="s">
        <v>30</v>
      </c>
      <c r="AC16" s="109"/>
    </row>
    <row r="17" spans="2:29" ht="21" customHeight="1" x14ac:dyDescent="0.15">
      <c r="B17" s="282" t="s">
        <v>31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7</v>
      </c>
      <c r="AB17" s="35" t="s">
        <v>32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33</v>
      </c>
      <c r="AB18" s="35" t="s">
        <v>34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35</v>
      </c>
      <c r="AB19" s="35" t="s">
        <v>36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13" zoomScaleNormal="100" workbookViewId="0">
      <selection activeCell="F26" sqref="F26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PUEBLO NUEVO  ( 121309 )</v>
      </c>
    </row>
    <row r="4" spans="1:6" x14ac:dyDescent="0.2">
      <c r="A4" s="50" t="str">
        <f>CONCATENATE("MES: ",NOMBRE!B6,"  ","( ",NOMBRE!C6,NOMBRE!D6," )")</f>
        <v>MES: JULIO  ( 07 )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292" t="s">
        <v>64</v>
      </c>
      <c r="B8" s="292"/>
      <c r="C8" s="292"/>
      <c r="D8" s="292"/>
      <c r="E8" s="292"/>
      <c r="F8" s="292"/>
    </row>
    <row r="9" spans="1:6" s="145" customFormat="1" ht="28.5" customHeight="1" x14ac:dyDescent="0.2">
      <c r="A9" s="292"/>
      <c r="B9" s="292"/>
      <c r="C9" s="292"/>
      <c r="D9" s="292"/>
      <c r="E9" s="292"/>
      <c r="F9" s="292"/>
    </row>
    <row r="10" spans="1:6" ht="26.25" customHeight="1" x14ac:dyDescent="0.2">
      <c r="A10" s="300" t="s">
        <v>65</v>
      </c>
      <c r="B10" s="300"/>
      <c r="C10" s="300"/>
    </row>
    <row r="11" spans="1:6" ht="12.75" customHeight="1" x14ac:dyDescent="0.2">
      <c r="A11" s="303" t="s">
        <v>66</v>
      </c>
      <c r="B11" s="304"/>
      <c r="C11" s="305"/>
      <c r="D11" s="293" t="s">
        <v>67</v>
      </c>
      <c r="E11" s="293" t="s">
        <v>68</v>
      </c>
      <c r="F11" s="296" t="s">
        <v>69</v>
      </c>
    </row>
    <row r="12" spans="1:6" ht="21.75" customHeight="1" x14ac:dyDescent="0.2">
      <c r="A12" s="306"/>
      <c r="B12" s="307"/>
      <c r="C12" s="308"/>
      <c r="D12" s="295"/>
      <c r="E12" s="295" t="s">
        <v>70</v>
      </c>
      <c r="F12" s="297" t="s">
        <v>70</v>
      </c>
    </row>
    <row r="13" spans="1:6" ht="20.25" customHeight="1" x14ac:dyDescent="0.2">
      <c r="A13" s="43" t="s">
        <v>71</v>
      </c>
      <c r="B13" s="298"/>
      <c r="C13" s="299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72</v>
      </c>
      <c r="B14" s="311" t="s">
        <v>73</v>
      </c>
      <c r="C14" s="312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1" t="s">
        <v>75</v>
      </c>
      <c r="C15" s="302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1" t="s">
        <v>77</v>
      </c>
      <c r="C16" s="302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1" t="s">
        <v>79</v>
      </c>
      <c r="C17" s="302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1" t="s">
        <v>81</v>
      </c>
      <c r="C18" s="302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13" t="s">
        <v>83</v>
      </c>
      <c r="C19" s="314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7" t="s">
        <v>85</v>
      </c>
      <c r="C20" s="318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86</v>
      </c>
      <c r="B21" s="298"/>
      <c r="C21" s="299"/>
      <c r="D21" s="77">
        <f>SUM(E21:F21)</f>
        <v>1</v>
      </c>
      <c r="E21" s="77">
        <f>SUM(E22+E23)</f>
        <v>0</v>
      </c>
      <c r="F21" s="77">
        <f>SUM(F22+F23)</f>
        <v>1</v>
      </c>
    </row>
    <row r="22" spans="1:6" ht="17.25" customHeight="1" x14ac:dyDescent="0.2">
      <c r="A22" s="98" t="s">
        <v>87</v>
      </c>
      <c r="B22" s="319" t="s">
        <v>88</v>
      </c>
      <c r="C22" s="320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21" t="s">
        <v>89</v>
      </c>
      <c r="C23" s="322"/>
      <c r="D23" s="80">
        <f t="shared" ref="D23" si="2">SUM(E23:F23)</f>
        <v>1</v>
      </c>
      <c r="E23" s="78">
        <f>SUM(BM18A!D114:D118)</f>
        <v>0</v>
      </c>
      <c r="F23" s="80">
        <f>SUM(BM18A!E114:E118)</f>
        <v>1</v>
      </c>
    </row>
    <row r="24" spans="1:6" ht="17.25" customHeight="1" x14ac:dyDescent="0.2">
      <c r="A24" s="293"/>
      <c r="B24" s="323" t="s">
        <v>90</v>
      </c>
      <c r="C24" s="180" t="s">
        <v>91</v>
      </c>
      <c r="D24" s="78">
        <f>SUM(F24)</f>
        <v>0</v>
      </c>
      <c r="E24" s="179"/>
      <c r="F24" s="101"/>
    </row>
    <row r="25" spans="1:6" ht="17.25" customHeight="1" x14ac:dyDescent="0.2">
      <c r="A25" s="294"/>
      <c r="B25" s="310"/>
      <c r="C25" s="134" t="s">
        <v>92</v>
      </c>
      <c r="D25" s="80">
        <f>SUM(F25)</f>
        <v>1</v>
      </c>
      <c r="E25" s="100"/>
      <c r="F25" s="93">
        <v>1</v>
      </c>
    </row>
    <row r="26" spans="1:6" ht="17.25" customHeight="1" x14ac:dyDescent="0.2">
      <c r="A26" s="294"/>
      <c r="B26" s="309" t="s">
        <v>93</v>
      </c>
      <c r="C26" s="133" t="s">
        <v>91</v>
      </c>
      <c r="D26" s="82">
        <f t="shared" ref="D26:D31" si="3">SUM(F26)</f>
        <v>0</v>
      </c>
      <c r="E26" s="94"/>
      <c r="F26" s="95"/>
    </row>
    <row r="27" spans="1:6" ht="17.25" customHeight="1" x14ac:dyDescent="0.2">
      <c r="A27" s="294"/>
      <c r="B27" s="310"/>
      <c r="C27" s="134" t="s">
        <v>92</v>
      </c>
      <c r="D27" s="80">
        <f t="shared" si="3"/>
        <v>0</v>
      </c>
      <c r="E27" s="92"/>
      <c r="F27" s="93"/>
    </row>
    <row r="28" spans="1:6" ht="17.25" customHeight="1" x14ac:dyDescent="0.2">
      <c r="A28" s="294"/>
      <c r="B28" s="309" t="s">
        <v>94</v>
      </c>
      <c r="C28" s="133" t="s">
        <v>91</v>
      </c>
      <c r="D28" s="82">
        <f t="shared" si="3"/>
        <v>0</v>
      </c>
      <c r="E28" s="94"/>
      <c r="F28" s="95"/>
    </row>
    <row r="29" spans="1:6" ht="17.25" customHeight="1" x14ac:dyDescent="0.2">
      <c r="A29" s="294"/>
      <c r="B29" s="310"/>
      <c r="C29" s="134" t="s">
        <v>92</v>
      </c>
      <c r="D29" s="80">
        <f t="shared" si="3"/>
        <v>0</v>
      </c>
      <c r="E29" s="92"/>
      <c r="F29" s="93"/>
    </row>
    <row r="30" spans="1:6" ht="17.25" customHeight="1" x14ac:dyDescent="0.2">
      <c r="A30" s="294"/>
      <c r="B30" s="309" t="s">
        <v>95</v>
      </c>
      <c r="C30" s="133" t="s">
        <v>91</v>
      </c>
      <c r="D30" s="82">
        <f t="shared" si="3"/>
        <v>0</v>
      </c>
      <c r="E30" s="94"/>
      <c r="F30" s="95"/>
    </row>
    <row r="31" spans="1:6" ht="17.25" customHeight="1" x14ac:dyDescent="0.2">
      <c r="A31" s="294"/>
      <c r="B31" s="310"/>
      <c r="C31" s="134" t="s">
        <v>92</v>
      </c>
      <c r="D31" s="80">
        <f t="shared" si="3"/>
        <v>0</v>
      </c>
      <c r="E31" s="92"/>
      <c r="F31" s="93"/>
    </row>
    <row r="32" spans="1:6" ht="17.25" customHeight="1" x14ac:dyDescent="0.2">
      <c r="A32" s="294"/>
      <c r="B32" s="315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294"/>
      <c r="B33" s="316"/>
      <c r="C33" s="134" t="s">
        <v>92</v>
      </c>
      <c r="D33" s="80">
        <f>SUM(D25+D27+D29+D31)</f>
        <v>1</v>
      </c>
      <c r="E33" s="92"/>
      <c r="F33" s="92"/>
    </row>
    <row r="34" spans="1:6" ht="17.25" customHeight="1" x14ac:dyDescent="0.2">
      <c r="A34" s="294"/>
      <c r="B34" s="309" t="s">
        <v>97</v>
      </c>
      <c r="C34" s="133" t="s">
        <v>91</v>
      </c>
      <c r="D34" s="82">
        <f>SUM(F34)</f>
        <v>0</v>
      </c>
      <c r="E34" s="94"/>
      <c r="F34" s="95"/>
    </row>
    <row r="35" spans="1:6" ht="17.25" customHeight="1" x14ac:dyDescent="0.2">
      <c r="A35" s="294"/>
      <c r="B35" s="310"/>
      <c r="C35" s="134" t="s">
        <v>92</v>
      </c>
      <c r="D35" s="81">
        <f>SUM(F35)</f>
        <v>0</v>
      </c>
      <c r="E35" s="92"/>
      <c r="F35" s="93"/>
    </row>
    <row r="36" spans="1:6" ht="17.25" customHeight="1" x14ac:dyDescent="0.2">
      <c r="A36" s="294"/>
      <c r="B36" s="309" t="s">
        <v>98</v>
      </c>
      <c r="C36" s="133" t="s">
        <v>91</v>
      </c>
      <c r="D36" s="82">
        <f>SUM(F36)</f>
        <v>0</v>
      </c>
      <c r="E36" s="146"/>
      <c r="F36" s="95"/>
    </row>
    <row r="37" spans="1:6" ht="17.25" customHeight="1" x14ac:dyDescent="0.2">
      <c r="A37" s="295"/>
      <c r="B37" s="310"/>
      <c r="C37" s="134" t="s">
        <v>92</v>
      </c>
      <c r="D37" s="81">
        <f>SUM(F37)</f>
        <v>0</v>
      </c>
      <c r="E37" s="96"/>
      <c r="F37" s="97"/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6" t="s">
        <v>100</v>
      </c>
      <c r="B40" s="296" t="s">
        <v>67</v>
      </c>
      <c r="C40" s="293" t="s">
        <v>68</v>
      </c>
      <c r="D40" s="296" t="s">
        <v>69</v>
      </c>
    </row>
    <row r="41" spans="1:6" ht="25.5" customHeight="1" x14ac:dyDescent="0.2">
      <c r="A41" s="297"/>
      <c r="B41" s="324"/>
      <c r="C41" s="295" t="s">
        <v>70</v>
      </c>
      <c r="D41" s="297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19</v>
      </c>
      <c r="C43" s="83">
        <f>BM18A!D158</f>
        <v>0</v>
      </c>
      <c r="D43" s="83">
        <f>BM18A!E158</f>
        <v>19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 x14ac:dyDescent="0.2">
      <c r="A46" s="90" t="s">
        <v>105</v>
      </c>
      <c r="B46" s="79">
        <f t="shared" si="4"/>
        <v>588</v>
      </c>
      <c r="C46" s="83">
        <f>BM18A!D148</f>
        <v>0</v>
      </c>
      <c r="D46" s="83">
        <f>BM18A!E148</f>
        <v>588</v>
      </c>
    </row>
    <row r="47" spans="1:6" ht="16.5" customHeight="1" x14ac:dyDescent="0.2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107</v>
      </c>
      <c r="B48" s="79">
        <f t="shared" si="4"/>
        <v>0</v>
      </c>
      <c r="C48" s="83">
        <f>BM18A!D169</f>
        <v>0</v>
      </c>
      <c r="D48" s="83">
        <f>BM18A!E169</f>
        <v>0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129</v>
      </c>
      <c r="C50" s="79">
        <f>BM18A!D177</f>
        <v>0</v>
      </c>
      <c r="D50" s="79">
        <f>BM18A!E177</f>
        <v>129</v>
      </c>
    </row>
    <row r="51" spans="1:4" ht="16.5" customHeight="1" x14ac:dyDescent="0.2">
      <c r="A51" s="223" t="s">
        <v>110</v>
      </c>
      <c r="B51" s="90">
        <f t="shared" si="4"/>
        <v>2523</v>
      </c>
      <c r="C51" s="81">
        <f>BM18A!D206</f>
        <v>0</v>
      </c>
      <c r="D51" s="81">
        <f>BM18A!E206</f>
        <v>2523</v>
      </c>
    </row>
    <row r="52" spans="1:4" ht="17.25" customHeight="1" x14ac:dyDescent="0.2">
      <c r="A52" s="91" t="s">
        <v>67</v>
      </c>
      <c r="B52" s="77">
        <f>SUM(B42:B51)</f>
        <v>3259</v>
      </c>
      <c r="C52" s="77">
        <f>SUM(C42:C51)</f>
        <v>0</v>
      </c>
      <c r="D52" s="77">
        <f>SUM(D42:D51)</f>
        <v>3259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32" t="s">
        <v>112</v>
      </c>
      <c r="B55" s="330" t="s">
        <v>67</v>
      </c>
    </row>
    <row r="56" spans="1:4" x14ac:dyDescent="0.2">
      <c r="A56" s="333"/>
      <c r="B56" s="331"/>
    </row>
    <row r="57" spans="1:4" ht="17.25" customHeight="1" x14ac:dyDescent="0.2">
      <c r="A57" s="116" t="s">
        <v>113</v>
      </c>
      <c r="B57" s="207"/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328" t="s">
        <v>115</v>
      </c>
      <c r="B59" s="329"/>
      <c r="C59" s="103" t="s">
        <v>116</v>
      </c>
      <c r="D59" s="104" t="s">
        <v>117</v>
      </c>
    </row>
    <row r="60" spans="1:4" ht="16.5" customHeight="1" x14ac:dyDescent="0.2">
      <c r="A60" s="325" t="s">
        <v>118</v>
      </c>
      <c r="B60" s="208" t="s">
        <v>119</v>
      </c>
      <c r="C60" s="87">
        <v>23</v>
      </c>
      <c r="D60" s="84"/>
    </row>
    <row r="61" spans="1:4" ht="16.5" customHeight="1" x14ac:dyDescent="0.2">
      <c r="A61" s="326"/>
      <c r="B61" s="12" t="s">
        <v>120</v>
      </c>
      <c r="C61" s="88"/>
      <c r="D61" s="85"/>
    </row>
    <row r="62" spans="1:4" ht="16.5" customHeight="1" x14ac:dyDescent="0.2">
      <c r="A62" s="327"/>
      <c r="B62" s="13" t="s">
        <v>121</v>
      </c>
      <c r="C62" s="89"/>
      <c r="D62" s="86"/>
    </row>
    <row r="96" spans="1:1" hidden="1" x14ac:dyDescent="0.2">
      <c r="A96" s="215">
        <f>SUM(D13:D37,B42:B52,B57,C60:C62)</f>
        <v>6545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opLeftCell="A183" zoomScaleNormal="100" workbookViewId="0">
      <selection activeCell="C210" sqref="C210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PUEBLO NUEVO  ( 121309 )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JULIO  ( 07 )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61"/>
      <c r="B6" s="361"/>
      <c r="C6" s="361"/>
      <c r="U6" s="54"/>
    </row>
    <row r="7" spans="1:21" s="53" customFormat="1" ht="36.75" customHeight="1" x14ac:dyDescent="0.15">
      <c r="A7" s="369" t="s">
        <v>122</v>
      </c>
      <c r="B7" s="369"/>
      <c r="C7" s="369"/>
      <c r="D7" s="369"/>
      <c r="E7" s="369"/>
      <c r="F7" s="36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68" t="s">
        <v>1</v>
      </c>
      <c r="B10" s="351" t="s">
        <v>66</v>
      </c>
      <c r="C10" s="341" t="s">
        <v>67</v>
      </c>
      <c r="D10" s="351" t="s">
        <v>68</v>
      </c>
      <c r="E10" s="357" t="s">
        <v>69</v>
      </c>
      <c r="F10" s="351" t="s">
        <v>123</v>
      </c>
    </row>
    <row r="11" spans="1:21" ht="18" customHeight="1" x14ac:dyDescent="0.2">
      <c r="A11" s="368"/>
      <c r="B11" s="352"/>
      <c r="C11" s="342"/>
      <c r="D11" s="352"/>
      <c r="E11" s="358"/>
      <c r="F11" s="352"/>
    </row>
    <row r="12" spans="1:21" ht="15" customHeight="1" x14ac:dyDescent="0.2">
      <c r="A12" s="364" t="s">
        <v>124</v>
      </c>
      <c r="B12" s="364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 x14ac:dyDescent="0.2">
      <c r="A20" s="362" t="s">
        <v>67</v>
      </c>
      <c r="B20" s="363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64" t="s">
        <v>139</v>
      </c>
      <c r="B22" s="364"/>
      <c r="C22" s="365"/>
      <c r="D22" s="366"/>
      <c r="E22" s="366"/>
      <c r="F22" s="367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/>
      <c r="F23" s="65"/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/>
      <c r="E24" s="114"/>
      <c r="F24" s="65"/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/>
      <c r="E25" s="114"/>
      <c r="F25" s="65"/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/>
      <c r="E26" s="114"/>
      <c r="F26" s="65"/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/>
      <c r="E27" s="114"/>
      <c r="F27" s="65"/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/>
      <c r="E28" s="114"/>
      <c r="F28" s="65"/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/>
      <c r="E29" s="114"/>
      <c r="F29" s="65"/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/>
      <c r="E30" s="114"/>
      <c r="F30" s="65"/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/>
      <c r="E31" s="114"/>
      <c r="F31" s="65"/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/>
      <c r="E32" s="114"/>
      <c r="F32" s="65"/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/>
      <c r="E33" s="114"/>
      <c r="F33" s="65"/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/>
      <c r="E34" s="114"/>
      <c r="F34" s="65"/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/>
      <c r="E35" s="114"/>
      <c r="F35" s="65"/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/>
      <c r="E36" s="114"/>
      <c r="F36" s="65"/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/>
      <c r="E37" s="114"/>
      <c r="F37" s="65"/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/>
      <c r="F38" s="65"/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/>
      <c r="E39" s="114"/>
      <c r="F39" s="65"/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/>
      <c r="F40" s="65"/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/>
      <c r="E41" s="114"/>
      <c r="F41" s="65"/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/>
      <c r="E42" s="114"/>
      <c r="F42" s="65"/>
    </row>
    <row r="43" spans="1:6" ht="15" customHeight="1" x14ac:dyDescent="0.2">
      <c r="A43" s="345" t="s">
        <v>67</v>
      </c>
      <c r="B43" s="347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8" t="s">
        <v>180</v>
      </c>
      <c r="B45" s="339"/>
      <c r="C45" s="370"/>
      <c r="D45" s="370"/>
      <c r="E45" s="370"/>
      <c r="F45" s="37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/>
      <c r="F46" s="65"/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/>
      <c r="E47" s="114"/>
      <c r="F47" s="65"/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/>
      <c r="E48" s="114"/>
      <c r="F48" s="65"/>
    </row>
    <row r="49" spans="1:6" ht="15" customHeight="1" x14ac:dyDescent="0.2">
      <c r="A49" s="345" t="s">
        <v>67</v>
      </c>
      <c r="B49" s="34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8" t="s">
        <v>79</v>
      </c>
      <c r="B51" s="339"/>
      <c r="C51" s="372"/>
      <c r="D51" s="372"/>
      <c r="E51" s="372"/>
      <c r="F51" s="373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/>
      <c r="F52" s="65"/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/>
      <c r="E53" s="114"/>
      <c r="F53" s="65"/>
    </row>
    <row r="54" spans="1:6" ht="15" customHeight="1" x14ac:dyDescent="0.2">
      <c r="A54" s="345" t="s">
        <v>67</v>
      </c>
      <c r="B54" s="34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8" t="s">
        <v>81</v>
      </c>
      <c r="B56" s="339"/>
      <c r="C56" s="374"/>
      <c r="D56" s="372"/>
      <c r="E56" s="372"/>
      <c r="F56" s="373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/>
      <c r="F57" s="65"/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/>
      <c r="E65" s="114"/>
      <c r="F65" s="65"/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/>
      <c r="E66" s="114"/>
      <c r="F66" s="65"/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/>
      <c r="E67" s="114"/>
      <c r="F67" s="65"/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/>
      <c r="E68" s="114"/>
      <c r="F68" s="65"/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/>
      <c r="E69" s="114"/>
      <c r="F69" s="65"/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/>
      <c r="E70" s="115"/>
      <c r="F70" s="67"/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/>
      <c r="E71" s="115"/>
      <c r="F71" s="67"/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/>
      <c r="F72" s="67"/>
    </row>
    <row r="73" spans="1:6" ht="15" customHeight="1" x14ac:dyDescent="0.2">
      <c r="A73" s="345" t="s">
        <v>67</v>
      </c>
      <c r="B73" s="347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75" t="s">
        <v>223</v>
      </c>
      <c r="B75" s="376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/>
      <c r="F76" s="65"/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/>
      <c r="E77" s="114"/>
      <c r="F77" s="65"/>
    </row>
    <row r="78" spans="1:6" ht="15" customHeight="1" x14ac:dyDescent="0.2">
      <c r="A78" s="345" t="s">
        <v>67</v>
      </c>
      <c r="B78" s="347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8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/>
      <c r="F81" s="65"/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/>
      <c r="E82" s="114"/>
      <c r="F82" s="65"/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0</v>
      </c>
      <c r="D83" s="65"/>
      <c r="E83" s="114"/>
      <c r="F83" s="65"/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/>
      <c r="E84" s="114"/>
      <c r="F84" s="65"/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/>
      <c r="E85" s="114"/>
      <c r="F85" s="65"/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/>
      <c r="E86" s="114"/>
      <c r="F86" s="65"/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/>
      <c r="E87" s="114"/>
      <c r="F87" s="65"/>
    </row>
    <row r="88" spans="1:6" ht="15" customHeight="1" x14ac:dyDescent="0.2">
      <c r="A88" s="345" t="s">
        <v>67</v>
      </c>
      <c r="B88" s="34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45" t="s">
        <v>243</v>
      </c>
      <c r="B89" s="34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59" t="s">
        <v>244</v>
      </c>
      <c r="B91" s="360"/>
      <c r="C91" s="349"/>
      <c r="D91" s="349"/>
      <c r="E91" s="349"/>
      <c r="F91" s="350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/>
      <c r="F92" s="63"/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/>
      <c r="E93" s="114"/>
      <c r="F93" s="65"/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/>
      <c r="E94" s="114"/>
      <c r="F94" s="65"/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0</v>
      </c>
      <c r="D95" s="65"/>
      <c r="E95" s="114"/>
      <c r="F95" s="65"/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/>
      <c r="E96" s="114"/>
      <c r="F96" s="65"/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/>
      <c r="E97" s="114"/>
      <c r="F97" s="65"/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/>
      <c r="E98" s="114"/>
      <c r="F98" s="65"/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0</v>
      </c>
      <c r="D99" s="65"/>
      <c r="E99" s="114"/>
      <c r="F99" s="65"/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0</v>
      </c>
      <c r="D100" s="65"/>
      <c r="E100" s="114"/>
      <c r="F100" s="65"/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/>
      <c r="E101" s="114"/>
      <c r="F101" s="65"/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0</v>
      </c>
      <c r="D102" s="65"/>
      <c r="E102" s="114"/>
      <c r="F102" s="65"/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0</v>
      </c>
      <c r="D103" s="65"/>
      <c r="E103" s="114"/>
      <c r="F103" s="65"/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/>
      <c r="E104" s="114"/>
      <c r="F104" s="65"/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0</v>
      </c>
      <c r="D105" s="65"/>
      <c r="E105" s="114"/>
      <c r="F105" s="65"/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0</v>
      </c>
      <c r="D106" s="65"/>
      <c r="E106" s="114"/>
      <c r="F106" s="65"/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0</v>
      </c>
      <c r="D107" s="65"/>
      <c r="E107" s="114"/>
      <c r="F107" s="65"/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0</v>
      </c>
      <c r="D108" s="65"/>
      <c r="E108" s="114"/>
      <c r="F108" s="65"/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0</v>
      </c>
      <c r="D109" s="65"/>
      <c r="E109" s="114"/>
      <c r="F109" s="65"/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0</v>
      </c>
      <c r="D110" s="65"/>
      <c r="E110" s="114"/>
      <c r="F110" s="65"/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0</v>
      </c>
      <c r="D111" s="65"/>
      <c r="E111" s="114"/>
      <c r="F111" s="65"/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0</v>
      </c>
      <c r="D112" s="65"/>
      <c r="E112" s="114"/>
      <c r="F112" s="65"/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0</v>
      </c>
      <c r="D113" s="65"/>
      <c r="E113" s="114"/>
      <c r="F113" s="65"/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1</v>
      </c>
      <c r="D114" s="65"/>
      <c r="E114" s="114">
        <v>1</v>
      </c>
      <c r="F114" s="65"/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0</v>
      </c>
      <c r="D115" s="65"/>
      <c r="E115" s="114"/>
      <c r="F115" s="65"/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/>
      <c r="E116" s="114"/>
      <c r="F116" s="65"/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/>
      <c r="E117" s="114"/>
      <c r="F117" s="65"/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43" t="s">
        <v>299</v>
      </c>
      <c r="B120" s="344"/>
      <c r="C120" s="344"/>
      <c r="D120" s="344"/>
      <c r="E120" s="344"/>
      <c r="F120" s="344"/>
    </row>
    <row r="121" spans="1:6" ht="14.1" customHeight="1" x14ac:dyDescent="0.2">
      <c r="A121" s="351" t="s">
        <v>1</v>
      </c>
      <c r="B121" s="355" t="s">
        <v>100</v>
      </c>
      <c r="C121" s="351" t="s">
        <v>70</v>
      </c>
      <c r="D121" s="351" t="s">
        <v>68</v>
      </c>
      <c r="E121" s="357" t="s">
        <v>69</v>
      </c>
      <c r="F121" s="341" t="s">
        <v>123</v>
      </c>
    </row>
    <row r="122" spans="1:6" s="141" customFormat="1" ht="15" customHeight="1" x14ac:dyDescent="0.2">
      <c r="A122" s="352"/>
      <c r="B122" s="356"/>
      <c r="C122" s="352"/>
      <c r="D122" s="352"/>
      <c r="E122" s="358"/>
      <c r="F122" s="342"/>
    </row>
    <row r="123" spans="1:6" ht="15" customHeight="1" x14ac:dyDescent="0.2">
      <c r="A123" s="338" t="s">
        <v>300</v>
      </c>
      <c r="B123" s="339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/>
      <c r="E124" s="247"/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/>
      <c r="E126" s="248"/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/>
      <c r="E127" s="248"/>
      <c r="F127" s="246"/>
    </row>
    <row r="128" spans="1:6" ht="15" customHeight="1" x14ac:dyDescent="0.2">
      <c r="A128" s="345" t="s">
        <v>67</v>
      </c>
      <c r="B128" s="34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8" t="s">
        <v>305</v>
      </c>
      <c r="B130" s="339"/>
      <c r="C130" s="334"/>
      <c r="D130" s="335"/>
      <c r="E130" s="335"/>
      <c r="F130" s="336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0</v>
      </c>
      <c r="D132" s="205"/>
      <c r="E132" s="254"/>
      <c r="F132" s="250"/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0</v>
      </c>
      <c r="D133" s="189"/>
      <c r="E133" s="255"/>
      <c r="F133" s="250"/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0</v>
      </c>
      <c r="D134" s="189"/>
      <c r="E134" s="255"/>
      <c r="F134" s="250"/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0</v>
      </c>
      <c r="D135" s="189"/>
      <c r="E135" s="255"/>
      <c r="F135" s="250"/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0</v>
      </c>
      <c r="D136" s="189"/>
      <c r="E136" s="255"/>
      <c r="F136" s="250"/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0</v>
      </c>
      <c r="D137" s="189"/>
      <c r="E137" s="255"/>
      <c r="F137" s="250"/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0</v>
      </c>
      <c r="D138" s="189"/>
      <c r="E138" s="255"/>
      <c r="F138" s="250"/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0</v>
      </c>
      <c r="D139" s="189"/>
      <c r="E139" s="255"/>
      <c r="F139" s="251"/>
    </row>
    <row r="140" spans="1:6" ht="15" customHeight="1" x14ac:dyDescent="0.2">
      <c r="A140" s="345" t="s">
        <v>67</v>
      </c>
      <c r="B140" s="34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8" t="s">
        <v>315</v>
      </c>
      <c r="B142" s="339"/>
      <c r="C142" s="334"/>
      <c r="D142" s="335"/>
      <c r="E142" s="335"/>
      <c r="F142" s="336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382</v>
      </c>
      <c r="D143" s="194"/>
      <c r="E143" s="247">
        <v>382</v>
      </c>
      <c r="F143" s="257"/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24</v>
      </c>
      <c r="D144" s="195"/>
      <c r="E144" s="260">
        <v>24</v>
      </c>
      <c r="F144" s="250"/>
    </row>
    <row r="145" spans="1:6" ht="15" customHeight="1" x14ac:dyDescent="0.2">
      <c r="A145" s="60"/>
      <c r="B145" s="129" t="s">
        <v>320</v>
      </c>
      <c r="C145" s="73">
        <f>SUM(D145:E145)</f>
        <v>182</v>
      </c>
      <c r="D145" s="196"/>
      <c r="E145" s="261">
        <v>182</v>
      </c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/>
      <c r="E146" s="255">
        <v>0</v>
      </c>
      <c r="F146" s="250"/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/>
      <c r="E147" s="262">
        <v>0</v>
      </c>
      <c r="F147" s="258"/>
    </row>
    <row r="148" spans="1:6" ht="15" customHeight="1" x14ac:dyDescent="0.2">
      <c r="A148" s="345" t="s">
        <v>67</v>
      </c>
      <c r="B148" s="346"/>
      <c r="C148" s="159">
        <f>SUM(C143:C147)</f>
        <v>588</v>
      </c>
      <c r="D148" s="159">
        <f t="shared" ref="D148" si="16">SUM(D143:D147)</f>
        <v>0</v>
      </c>
      <c r="E148" s="263">
        <f>SUM(E143:E147)</f>
        <v>588</v>
      </c>
      <c r="F148" s="259">
        <f>SUM(F143:F147)</f>
        <v>0</v>
      </c>
    </row>
    <row r="149" spans="1:6" ht="15" customHeight="1" x14ac:dyDescent="0.2">
      <c r="A149" s="130"/>
      <c r="B149" s="337"/>
      <c r="C149" s="337"/>
      <c r="D149" s="337"/>
      <c r="E149" s="337"/>
      <c r="F149" s="337"/>
    </row>
    <row r="150" spans="1:6" ht="15" customHeight="1" x14ac:dyDescent="0.2">
      <c r="A150" s="353" t="s">
        <v>323</v>
      </c>
      <c r="B150" s="354"/>
      <c r="C150" s="345"/>
      <c r="D150" s="347"/>
      <c r="E150" s="347"/>
      <c r="F150" s="34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3</v>
      </c>
      <c r="D151" s="237"/>
      <c r="E151" s="113">
        <v>3</v>
      </c>
      <c r="F151" s="257"/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16</v>
      </c>
      <c r="D152" s="213"/>
      <c r="E152" s="114">
        <v>16</v>
      </c>
      <c r="F152" s="250"/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/>
      <c r="E153" s="114">
        <v>0</v>
      </c>
      <c r="F153" s="250"/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0</v>
      </c>
      <c r="D154" s="214"/>
      <c r="E154" s="115">
        <v>0</v>
      </c>
      <c r="F154" s="250"/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/>
      <c r="E155" s="255">
        <v>0</v>
      </c>
      <c r="F155" s="250"/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0</v>
      </c>
      <c r="D156" s="210"/>
      <c r="E156" s="255">
        <v>0</v>
      </c>
      <c r="F156" s="250"/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0</v>
      </c>
      <c r="D157" s="211"/>
      <c r="E157" s="262">
        <v>0</v>
      </c>
      <c r="F157" s="258"/>
    </row>
    <row r="158" spans="1:6" ht="15" customHeight="1" x14ac:dyDescent="0.2">
      <c r="A158" s="345" t="s">
        <v>67</v>
      </c>
      <c r="B158" s="346"/>
      <c r="C158" s="72">
        <f>SUM(C151:C157)</f>
        <v>19</v>
      </c>
      <c r="D158" s="212">
        <f t="shared" ref="D158:F158" si="18">SUM(D151:D157)</f>
        <v>0</v>
      </c>
      <c r="E158" s="256">
        <f t="shared" si="18"/>
        <v>19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8" t="s">
        <v>334</v>
      </c>
      <c r="B160" s="339"/>
      <c r="C160" s="345"/>
      <c r="D160" s="347"/>
      <c r="E160" s="347"/>
      <c r="F160" s="346"/>
    </row>
    <row r="161" spans="1:6" ht="15" customHeight="1" x14ac:dyDescent="0.2">
      <c r="A161" s="61"/>
      <c r="B161" s="121" t="s">
        <v>335</v>
      </c>
      <c r="C161" s="204">
        <f>SUM(D161:E161)</f>
        <v>0</v>
      </c>
      <c r="D161" s="240"/>
      <c r="E161" s="266"/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/>
      <c r="E162" s="255"/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/>
      <c r="E163" s="114"/>
      <c r="F163" s="265"/>
    </row>
    <row r="164" spans="1:6" ht="15" customHeight="1" x14ac:dyDescent="0.2">
      <c r="A164" s="345" t="s">
        <v>67</v>
      </c>
      <c r="B164" s="34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8" t="s">
        <v>339</v>
      </c>
      <c r="B166" s="339"/>
      <c r="C166" s="345"/>
      <c r="D166" s="347"/>
      <c r="E166" s="347"/>
      <c r="F166" s="346"/>
    </row>
    <row r="167" spans="1:6" ht="15" customHeight="1" x14ac:dyDescent="0.2">
      <c r="A167" s="61"/>
      <c r="B167" s="121" t="s">
        <v>340</v>
      </c>
      <c r="C167" s="241">
        <f>SUM(D167:E167)</f>
        <v>0</v>
      </c>
      <c r="D167" s="240"/>
      <c r="E167" s="266">
        <v>0</v>
      </c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0</v>
      </c>
      <c r="D168" s="227"/>
      <c r="E168" s="267">
        <v>0</v>
      </c>
      <c r="F168" s="265"/>
    </row>
    <row r="169" spans="1:6" ht="15" customHeight="1" x14ac:dyDescent="0.2">
      <c r="A169" s="345" t="s">
        <v>67</v>
      </c>
      <c r="B169" s="346"/>
      <c r="C169" s="155">
        <f>SUM(C167:C168)</f>
        <v>0</v>
      </c>
      <c r="D169" s="228">
        <f>SUM(D167:D168)</f>
        <v>0</v>
      </c>
      <c r="E169" s="268">
        <f>SUM(E167:E168)</f>
        <v>0</v>
      </c>
      <c r="F169" s="192"/>
    </row>
    <row r="170" spans="1:6" ht="15" customHeight="1" x14ac:dyDescent="0.2">
      <c r="A170" s="348"/>
      <c r="B170" s="348"/>
      <c r="C170" s="348"/>
      <c r="D170" s="348"/>
      <c r="E170" s="348"/>
      <c r="F170" s="348"/>
    </row>
    <row r="171" spans="1:6" ht="15" customHeight="1" x14ac:dyDescent="0.2">
      <c r="A171" s="338" t="s">
        <v>342</v>
      </c>
      <c r="B171" s="339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11</v>
      </c>
      <c r="D172" s="242"/>
      <c r="E172" s="113">
        <v>11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7</v>
      </c>
      <c r="D173" s="65"/>
      <c r="E173" s="114">
        <v>7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6</v>
      </c>
      <c r="D174" s="65"/>
      <c r="E174" s="114">
        <v>6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0</v>
      </c>
      <c r="D175" s="65"/>
      <c r="E175" s="114">
        <v>0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105</v>
      </c>
      <c r="D176" s="201"/>
      <c r="E176" s="270">
        <v>105</v>
      </c>
      <c r="F176" s="246"/>
    </row>
    <row r="177" spans="1:6" ht="15" customHeight="1" x14ac:dyDescent="0.2">
      <c r="A177" s="345" t="s">
        <v>67</v>
      </c>
      <c r="B177" s="346"/>
      <c r="C177" s="155">
        <f>SUM(C172:C176)</f>
        <v>129</v>
      </c>
      <c r="D177" s="155">
        <f t="shared" ref="D177:E177" si="20">SUM(D172:D176)</f>
        <v>0</v>
      </c>
      <c r="E177" s="271">
        <f t="shared" si="20"/>
        <v>129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8" t="s">
        <v>348</v>
      </c>
      <c r="B179" s="339"/>
      <c r="C179" s="338"/>
      <c r="D179" s="339"/>
      <c r="E179" s="339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>
        <v>0</v>
      </c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>
        <v>0</v>
      </c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>
        <v>0</v>
      </c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>
        <v>0</v>
      </c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>
        <v>0</v>
      </c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>
        <v>0</v>
      </c>
      <c r="E185" s="276"/>
      <c r="F185" s="273"/>
    </row>
    <row r="186" spans="1:6" ht="15" customHeight="1" x14ac:dyDescent="0.2">
      <c r="A186" s="345" t="s">
        <v>67</v>
      </c>
      <c r="B186" s="34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37"/>
      <c r="B187" s="337"/>
      <c r="C187" s="337"/>
      <c r="D187" s="337"/>
      <c r="E187" s="337"/>
      <c r="F187" s="337"/>
    </row>
    <row r="188" spans="1:6" ht="15" customHeight="1" x14ac:dyDescent="0.2">
      <c r="A188" s="338" t="s">
        <v>110</v>
      </c>
      <c r="B188" s="339"/>
      <c r="C188" s="334"/>
      <c r="D188" s="335"/>
      <c r="E188" s="335"/>
      <c r="F188" s="336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134</v>
      </c>
      <c r="D189" s="225"/>
      <c r="E189" s="266">
        <v>134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0</v>
      </c>
      <c r="D190" s="226"/>
      <c r="E190" s="255">
        <v>0</v>
      </c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373</v>
      </c>
      <c r="D191" s="210"/>
      <c r="E191" s="255">
        <v>373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149</v>
      </c>
      <c r="D192" s="210"/>
      <c r="E192" s="255">
        <v>149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148</v>
      </c>
      <c r="D193" s="210"/>
      <c r="E193" s="255">
        <v>148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110</v>
      </c>
      <c r="D194" s="226"/>
      <c r="E194" s="277">
        <v>110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178</v>
      </c>
      <c r="D195" s="210"/>
      <c r="E195" s="255">
        <v>178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0</v>
      </c>
      <c r="D196" s="210"/>
      <c r="E196" s="255">
        <v>0</v>
      </c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0</v>
      </c>
      <c r="D197" s="210"/>
      <c r="E197" s="255">
        <v>0</v>
      </c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0</v>
      </c>
      <c r="D198" s="210"/>
      <c r="E198" s="255">
        <v>0</v>
      </c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/>
      <c r="E199" s="255">
        <v>0</v>
      </c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0</v>
      </c>
      <c r="D200" s="210"/>
      <c r="E200" s="255">
        <v>0</v>
      </c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0</v>
      </c>
      <c r="D201" s="210"/>
      <c r="E201" s="255">
        <v>0</v>
      </c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522</v>
      </c>
      <c r="D202" s="210"/>
      <c r="E202" s="255">
        <v>522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33</v>
      </c>
      <c r="D203" s="210"/>
      <c r="E203" s="255">
        <v>33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861</v>
      </c>
      <c r="D204" s="210"/>
      <c r="E204" s="255">
        <v>861</v>
      </c>
      <c r="F204" s="250"/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15</v>
      </c>
      <c r="D205" s="211"/>
      <c r="E205" s="255">
        <v>15</v>
      </c>
      <c r="F205" s="258"/>
    </row>
    <row r="206" spans="1:6" ht="15" customHeight="1" x14ac:dyDescent="0.2">
      <c r="A206" s="345" t="s">
        <v>67</v>
      </c>
      <c r="B206" s="346"/>
      <c r="C206" s="72">
        <f>SUM(C189:C205)</f>
        <v>2523</v>
      </c>
      <c r="D206" s="212">
        <f t="shared" ref="D206:F206" si="24">SUM(D189:D205)</f>
        <v>0</v>
      </c>
      <c r="E206" s="256">
        <f t="shared" si="24"/>
        <v>2523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A73:B73"/>
    <mergeCell ref="A78:B78"/>
    <mergeCell ref="A88:B88"/>
    <mergeCell ref="A89:B89"/>
    <mergeCell ref="A75:B75"/>
    <mergeCell ref="A80:B80"/>
    <mergeCell ref="A49:B49"/>
    <mergeCell ref="C51:F51"/>
    <mergeCell ref="A54:B54"/>
    <mergeCell ref="C56:F56"/>
    <mergeCell ref="A51:B51"/>
    <mergeCell ref="A56:B56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PUEBLO NUEVO - 121309 
   / MES:  JULIO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2025-08-06T21:14:14Z</dcterms:modified>
  <cp:category/>
  <cp:contentStatus/>
</cp:coreProperties>
</file>