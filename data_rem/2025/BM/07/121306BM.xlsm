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JULIO\"/>
    </mc:Choice>
  </mc:AlternateContent>
  <xr:revisionPtr revIDLastSave="0" documentId="13_ncr:1_{0044E607-7388-44AA-ABC0-7C244073920C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05" yWindow="0" windowWidth="14610" windowHeight="15585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<sst xmlns="http://schemas.openxmlformats.org/spreadsheetml/2006/main" count="452" uniqueCount="397">
  <si>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</si>
  <si>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</si>
  <si>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</si>
  <si>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</si>
  <si>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</si>
  <si>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</si>
  <si>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</si>
  <si>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JULIO</t>
  </si>
  <si>
    <t>AÑO:</t>
  </si>
  <si>
    <t xml:space="preserve"> </t>
  </si>
  <si>
    <t>Versión 1.2 Marzo 2025</t>
  </si>
  <si>
    <t>Director/a Servicio de Salud o Director/a Establecimiento</t>
  </si>
  <si>
    <t>SRA. MARISA VILLALOBOS</t>
  </si>
  <si>
    <t>ENERO</t>
  </si>
  <si>
    <t>Establecimiento de Mayor Complejidad (EMAYC)</t>
  </si>
  <si>
    <t>SERVICIO DE SALUD</t>
  </si>
  <si>
    <t>Jefe/a de Estadísticas</t>
  </si>
  <si>
    <t>SRA. EVELYN SOTO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</si>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</sst>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E13" sqref="E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6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7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53" zoomScaleNormal="100" workbookViewId="0">
      <selection activeCell="D64" sqref="D64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18</v>
      </c>
      <c r="E21" s="77">
        <f>SUM(E22+E23)</f>
        <v>0</v>
      </c>
      <c r="F21" s="77">
        <f>SUM(F22+F23)</f>
        <v>18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18</v>
      </c>
      <c r="E23" s="78">
        <f>SUM(BM18A!D114:D118)</f>
        <v>0</v>
      </c>
      <c r="F23" s="80">
        <f>SUM(BM18A!E114:E118)</f>
        <v>18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10</v>
      </c>
      <c r="E25" s="100"/>
      <c r="F25" s="93">
        <v>10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6</v>
      </c>
      <c r="E27" s="92"/>
      <c r="F27" s="93">
        <v>6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1</v>
      </c>
      <c r="E31" s="92"/>
      <c r="F31" s="93">
        <v>1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18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7</v>
      </c>
      <c r="E35" s="92"/>
      <c r="F35" s="93">
        <v>7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63</v>
      </c>
      <c r="C43" s="83">
        <f>BM18A!D158</f>
        <v>0</v>
      </c>
      <c r="D43" s="83">
        <f>BM18A!E158</f>
        <v>63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3</v>
      </c>
      <c r="C45" s="79">
        <f>SUM(BM18A!D132:D139)</f>
        <v>0</v>
      </c>
      <c r="D45" s="79">
        <f>SUM(BM18A!E132:E139)</f>
        <v>3</v>
      </c>
    </row>
    <row r="46" spans="1:6" ht="16.5" customHeight="1" x14ac:dyDescent="0.2">
      <c r="A46" s="90" t="s">
        <v>105</v>
      </c>
      <c r="B46" s="79">
        <f t="shared" si="4"/>
        <v>403</v>
      </c>
      <c r="C46" s="83">
        <f>BM18A!D148</f>
        <v>0</v>
      </c>
      <c r="D46" s="83">
        <f>BM18A!E148</f>
        <v>403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15</v>
      </c>
      <c r="C48" s="83">
        <f>BM18A!D169</f>
        <v>0</v>
      </c>
      <c r="D48" s="83">
        <f>BM18A!E169</f>
        <v>15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201</v>
      </c>
      <c r="C50" s="79">
        <f>BM18A!D177</f>
        <v>0</v>
      </c>
      <c r="D50" s="79">
        <f>BM18A!E177</f>
        <v>201</v>
      </c>
    </row>
    <row r="51" spans="1:4" ht="16.5" customHeight="1" x14ac:dyDescent="0.2">
      <c r="A51" s="223" t="s">
        <v>110</v>
      </c>
      <c r="B51" s="90">
        <f t="shared" si="4"/>
        <v>6621</v>
      </c>
      <c r="C51" s="81">
        <f>BM18A!D206</f>
        <v>0</v>
      </c>
      <c r="D51" s="81">
        <f>BM18A!E206</f>
        <v>6621</v>
      </c>
    </row>
    <row r="52" spans="1:4" ht="17.25" customHeight="1" x14ac:dyDescent="0.2">
      <c r="A52" s="91" t="s">
        <v>67</v>
      </c>
      <c r="B52" s="77">
        <f>SUM(B42:B51)</f>
        <v>7306</v>
      </c>
      <c r="C52" s="77">
        <f>SUM(C42:C51)</f>
        <v>0</v>
      </c>
      <c r="D52" s="77">
        <f>SUM(D42:D51)</f>
        <v>7306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73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14764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B177" zoomScaleNormal="100" workbookViewId="0">
      <selection activeCell="D198" sqref="D198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18</v>
      </c>
      <c r="D114" s="65"/>
      <c r="E114" s="114">
        <v>18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3</v>
      </c>
      <c r="D135" s="189"/>
      <c r="E135" s="255">
        <v>3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3</v>
      </c>
      <c r="D140" s="72">
        <f t="shared" ref="D140:F140" si="15">SUM(D131:D139)</f>
        <v>0</v>
      </c>
      <c r="E140" s="256">
        <f t="shared" si="15"/>
        <v>3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300</v>
      </c>
      <c r="D143" s="194"/>
      <c r="E143" s="247">
        <v>300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103</v>
      </c>
      <c r="D145" s="196"/>
      <c r="E145" s="261">
        <v>103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403</v>
      </c>
      <c r="D148" s="159">
        <f t="shared" ref="D148" si="16">SUM(D143:D147)</f>
        <v>0</v>
      </c>
      <c r="E148" s="263">
        <f>SUM(E143:E147)</f>
        <v>403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2</v>
      </c>
      <c r="D156" s="210"/>
      <c r="E156" s="255">
        <v>2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61</v>
      </c>
      <c r="D157" s="211"/>
      <c r="E157" s="262">
        <v>61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63</v>
      </c>
      <c r="D158" s="212">
        <f t="shared" ref="D158:F158" si="18">SUM(D151:D157)</f>
        <v>0</v>
      </c>
      <c r="E158" s="256">
        <f t="shared" si="18"/>
        <v>63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15</v>
      </c>
      <c r="D167" s="240"/>
      <c r="E167" s="266">
        <v>15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15</v>
      </c>
      <c r="D169" s="228">
        <f>SUM(D167:D168)</f>
        <v>0</v>
      </c>
      <c r="E169" s="268">
        <f>SUM(E167:E168)</f>
        <v>15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/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15</v>
      </c>
      <c r="D173" s="65"/>
      <c r="E173" s="114">
        <v>15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6</v>
      </c>
      <c r="D174" s="65"/>
      <c r="E174" s="114">
        <v>6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84</v>
      </c>
      <c r="D175" s="65"/>
      <c r="E175" s="114">
        <v>84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88</v>
      </c>
      <c r="D176" s="201"/>
      <c r="E176" s="270">
        <v>88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201</v>
      </c>
      <c r="D177" s="155">
        <f t="shared" ref="D177:E177" si="20">SUM(D172:D176)</f>
        <v>0</v>
      </c>
      <c r="E177" s="271">
        <f t="shared" si="20"/>
        <v>201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1113</v>
      </c>
      <c r="D189" s="225"/>
      <c r="E189" s="266">
        <v>1113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38</v>
      </c>
      <c r="D190" s="226"/>
      <c r="E190" s="255">
        <v>38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369</v>
      </c>
      <c r="D191" s="210">
        <v>0</v>
      </c>
      <c r="E191" s="255">
        <v>369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356</v>
      </c>
      <c r="D192" s="210">
        <v>0</v>
      </c>
      <c r="E192" s="255">
        <v>356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165</v>
      </c>
      <c r="D193" s="210">
        <v>0</v>
      </c>
      <c r="E193" s="255">
        <v>165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227</v>
      </c>
      <c r="D194" s="226">
        <v>0</v>
      </c>
      <c r="E194" s="277">
        <v>227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2483</v>
      </c>
      <c r="D195" s="210">
        <v>0</v>
      </c>
      <c r="E195" s="255">
        <v>2483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99</v>
      </c>
      <c r="D198" s="210">
        <v>0</v>
      </c>
      <c r="E198" s="255">
        <v>99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489</v>
      </c>
      <c r="D202" s="210">
        <v>0</v>
      </c>
      <c r="E202" s="255">
        <v>489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51</v>
      </c>
      <c r="D203" s="210">
        <v>0</v>
      </c>
      <c r="E203" s="255">
        <v>51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1196</v>
      </c>
      <c r="D204" s="210">
        <v>0</v>
      </c>
      <c r="E204" s="255">
        <v>1196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35</v>
      </c>
      <c r="D205" s="211"/>
      <c r="E205" s="255">
        <v>35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6621</v>
      </c>
      <c r="D206" s="212">
        <f t="shared" ref="D206:F206" si="24">SUM(D189:D205)</f>
        <v>0</v>
      </c>
      <c r="E206" s="256">
        <f t="shared" si="24"/>
        <v>6621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2025-08-06T20:16:54Z</dcterms:modified>
  <cp:category/>
  <cp:contentStatus/>
</cp:coreProperties>
</file>