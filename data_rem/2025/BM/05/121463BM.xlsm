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25832645-8CAE-4A78-9BB6-B00050079BB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8730" yWindow="300" windowWidth="20025" windowHeight="11955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<sst xmlns="http://schemas.openxmlformats.org/spreadsheetml/2006/main" count="452" uniqueCount="397">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</sst>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3" sqref="H13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6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>
      <c r="A4" s="50" t="str">
        <f>CONCATENATE("MES: ",NOMBRE!B6,"  ","( ",NOMBRE!C6,NOMBRE!D6," )")</f>
        <v>MES: MAYO  ( 05 )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18</v>
      </c>
      <c r="C46" s="83">
        <f>BM18A!D148</f>
        <v>0</v>
      </c>
      <c r="D46" s="83">
        <f>BM18A!E148</f>
        <v>18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3</v>
      </c>
      <c r="C50" s="79">
        <f>BM18A!D177</f>
        <v>0</v>
      </c>
      <c r="D50" s="79">
        <f>BM18A!E177</f>
        <v>3</v>
      </c>
    </row>
    <row r="51" spans="1:4" ht="16.5" customHeight="1">
      <c r="A51" s="223" t="s">
        <v>110</v>
      </c>
      <c r="B51" s="90">
        <f t="shared" si="4"/>
        <v>69</v>
      </c>
      <c r="C51" s="81">
        <f>BM18A!D206</f>
        <v>0</v>
      </c>
      <c r="D51" s="81">
        <f>BM18A!E206</f>
        <v>69</v>
      </c>
    </row>
    <row r="52" spans="1:4" ht="17.25" customHeight="1">
      <c r="A52" s="91" t="s">
        <v>67</v>
      </c>
      <c r="B52" s="77">
        <f>SUM(B42:B51)</f>
        <v>90</v>
      </c>
      <c r="C52" s="77">
        <f>SUM(C42:C51)</f>
        <v>0</v>
      </c>
      <c r="D52" s="77">
        <f>SUM(D42:D51)</f>
        <v>90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180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3" zoomScaleNormal="100" workbookViewId="0">
      <selection activeCell="E197" sqref="E197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7</v>
      </c>
      <c r="D143" s="194"/>
      <c r="E143" s="247">
        <v>7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11</v>
      </c>
      <c r="D145" s="196"/>
      <c r="E145" s="261">
        <v>11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18</v>
      </c>
      <c r="D148" s="159">
        <f t="shared" ref="D148" si="16">SUM(D143:D147)</f>
        <v>0</v>
      </c>
      <c r="E148" s="263">
        <f>SUM(E143:E147)</f>
        <v>18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3</v>
      </c>
      <c r="D175" s="65"/>
      <c r="E175" s="114">
        <v>3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3</v>
      </c>
      <c r="D177" s="155">
        <f t="shared" ref="D177:E177" si="20">SUM(D172:D176)</f>
        <v>0</v>
      </c>
      <c r="E177" s="271">
        <f t="shared" si="20"/>
        <v>3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15</v>
      </c>
      <c r="D189" s="225"/>
      <c r="E189" s="266">
        <v>15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11</v>
      </c>
      <c r="D191" s="210"/>
      <c r="E191" s="255">
        <v>11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23</v>
      </c>
      <c r="D202" s="210"/>
      <c r="E202" s="255">
        <v>23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20</v>
      </c>
      <c r="D204" s="210"/>
      <c r="E204" s="255">
        <v>20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69</v>
      </c>
      <c r="D206" s="212">
        <f t="shared" ref="D206:F206" si="24">SUM(D189:D205)</f>
        <v>0</v>
      </c>
      <c r="E206" s="256">
        <f t="shared" si="24"/>
        <v>69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MAYO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2025-06-05T19:16:19Z</dcterms:modified>
  <cp:category/>
  <cp:contentStatus/>
</cp:coreProperties>
</file>