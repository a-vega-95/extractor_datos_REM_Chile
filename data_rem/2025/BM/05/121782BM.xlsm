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unicitemuco-my.sharepoint.com/personal/gestorinformacion_valegre_temuco_cl/Documents/Documentos/Estadísticas/2025/Mayo/Arquenco Mayo 2025/"/>
    </mc:Choice>
  </mc:AlternateContent>
  <xr:revisionPtr revIDLastSave="0" documentId="8_{95161839-4FD1-4C17-A668-FA6F4BC76D2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28920" yWindow="-120" windowWidth="29040" windowHeight="1584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<sst xmlns="http://schemas.openxmlformats.org/spreadsheetml/2006/main" count="452" uniqueCount="397">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</sst>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F7" sqref="F7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" zoomScaleNormal="100" workbookViewId="0">
      <selection activeCell="N52" sqref="N52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>
      <c r="A4" s="50" t="str">
        <f>CONCATENATE("MES: ",NOMBRE!B6,"  ","( ",NOMBRE!C6,NOMBRE!D6," )")</f>
        <v>MES: MAYO  ( 05 )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49</v>
      </c>
      <c r="C46" s="83">
        <f>BM18A!D148</f>
        <v>0</v>
      </c>
      <c r="D46" s="83">
        <f>BM18A!E148</f>
        <v>49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>
      <c r="A51" s="223" t="s">
        <v>110</v>
      </c>
      <c r="B51" s="90">
        <f t="shared" si="4"/>
        <v>341</v>
      </c>
      <c r="C51" s="81">
        <f>BM18A!D206</f>
        <v>0</v>
      </c>
      <c r="D51" s="81">
        <f>BM18A!E206</f>
        <v>341</v>
      </c>
    </row>
    <row r="52" spans="1:4" ht="17.25" customHeight="1">
      <c r="A52" s="91" t="s">
        <v>67</v>
      </c>
      <c r="B52" s="77">
        <f>SUM(B42:B51)</f>
        <v>391</v>
      </c>
      <c r="C52" s="77">
        <f>SUM(C42:C51)</f>
        <v>0</v>
      </c>
      <c r="D52" s="77">
        <f>SUM(D42:D51)</f>
        <v>391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>
        <v>0</v>
      </c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>
      <c r="A61" s="326"/>
      <c r="B61" s="12" t="s">
        <v>120</v>
      </c>
      <c r="C61" s="88">
        <v>0</v>
      </c>
      <c r="D61" s="85">
        <v>0</v>
      </c>
    </row>
    <row r="62" spans="1:4" ht="16.5" customHeight="1">
      <c r="A62" s="327"/>
      <c r="B62" s="13" t="s">
        <v>121</v>
      </c>
      <c r="C62" s="89">
        <v>0</v>
      </c>
      <c r="D62" s="86">
        <v>0</v>
      </c>
    </row>
    <row r="96" spans="1:1" hidden="1">
      <c r="A96" s="215">
        <f>SUM(D13:D37,B42:B52,B57,C60:C62)</f>
        <v>782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7" zoomScaleNormal="100" workbookViewId="0">
      <selection activeCell="A193" sqref="A193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42</v>
      </c>
      <c r="D143" s="194">
        <v>0</v>
      </c>
      <c r="E143" s="247">
        <v>42</v>
      </c>
      <c r="F143" s="257">
        <v>0</v>
      </c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>
      <c r="A145" s="60"/>
      <c r="B145" s="129" t="s">
        <v>320</v>
      </c>
      <c r="C145" s="73">
        <f>SUM(D145:E145)</f>
        <v>7</v>
      </c>
      <c r="D145" s="196">
        <v>0</v>
      </c>
      <c r="E145" s="261">
        <v>7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>
      <c r="A148" s="345" t="s">
        <v>67</v>
      </c>
      <c r="B148" s="346"/>
      <c r="C148" s="159">
        <f>SUM(C143:C147)</f>
        <v>49</v>
      </c>
      <c r="D148" s="159">
        <f t="shared" ref="D148" si="16">SUM(D143:D147)</f>
        <v>0</v>
      </c>
      <c r="E148" s="263">
        <f>SUM(E143:E147)</f>
        <v>49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>
        <v>0</v>
      </c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>
        <v>0</v>
      </c>
      <c r="E173" s="114">
        <v>0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>
      <c r="A177" s="345" t="s">
        <v>67</v>
      </c>
      <c r="B177" s="34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46</v>
      </c>
      <c r="D191" s="210">
        <v>0</v>
      </c>
      <c r="E191" s="255">
        <v>46</v>
      </c>
      <c r="F191" s="246"/>
    </row>
    <row r="192" spans="1:6" ht="15" customHeight="1">
      <c r="A192" s="62"/>
      <c r="B192" s="129" t="s">
        <v>359</v>
      </c>
      <c r="C192" s="188">
        <f t="shared" si="22"/>
        <v>18</v>
      </c>
      <c r="D192" s="210">
        <v>0</v>
      </c>
      <c r="E192" s="255">
        <v>18</v>
      </c>
      <c r="F192" s="246"/>
    </row>
    <row r="193" spans="1:6" ht="15" customHeight="1">
      <c r="A193" s="62"/>
      <c r="B193" s="129" t="s">
        <v>360</v>
      </c>
      <c r="C193" s="188">
        <f t="shared" si="22"/>
        <v>4</v>
      </c>
      <c r="D193" s="210">
        <v>0</v>
      </c>
      <c r="E193" s="255">
        <v>4</v>
      </c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50</v>
      </c>
      <c r="D195" s="210">
        <v>0</v>
      </c>
      <c r="E195" s="255">
        <v>50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72</v>
      </c>
      <c r="D202" s="210">
        <v>0</v>
      </c>
      <c r="E202" s="255">
        <v>72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1</v>
      </c>
      <c r="D203" s="210">
        <v>0</v>
      </c>
      <c r="E203" s="255">
        <v>1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143</v>
      </c>
      <c r="D204" s="210">
        <v>0</v>
      </c>
      <c r="E204" s="255">
        <v>143</v>
      </c>
      <c r="F204" s="250">
        <v>0</v>
      </c>
    </row>
    <row r="205" spans="1:6" ht="15" customHeight="1">
      <c r="A205" s="62" t="s">
        <v>381</v>
      </c>
      <c r="B205" s="185" t="s">
        <v>382</v>
      </c>
      <c r="C205" s="188">
        <f t="shared" si="23"/>
        <v>7</v>
      </c>
      <c r="D205" s="211">
        <v>0</v>
      </c>
      <c r="E205" s="255">
        <v>7</v>
      </c>
      <c r="F205" s="258">
        <v>0</v>
      </c>
    </row>
    <row r="206" spans="1:6" ht="15" customHeight="1">
      <c r="A206" s="345" t="s">
        <v>67</v>
      </c>
      <c r="B206" s="346"/>
      <c r="C206" s="72">
        <f>SUM(C189:C205)</f>
        <v>341</v>
      </c>
      <c r="D206" s="212">
        <f t="shared" ref="D206:F206" si="24">SUM(D189:D205)</f>
        <v>0</v>
      </c>
      <c r="E206" s="256">
        <f t="shared" si="24"/>
        <v>341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MAYO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2025-06-05T02:41:26Z</dcterms:modified>
  <cp:category/>
  <cp:contentStatus/>
</cp:coreProperties>
</file>