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MAYO\"/>
    </mc:Choice>
  </mc:AlternateContent>
  <xr:revisionPtr revIDLastSave="0" documentId="13_ncr:1_{68B1F62C-8942-4582-A3FD-72662BCE5E3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9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<sst xmlns="http://schemas.openxmlformats.org/spreadsheetml/2006/main" count="452" uniqueCount="397">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</sst>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9000000}"/>
    <cellStyle name="Normal_REM 08-2002" xfId="122" xr:uid="{00000000-0005-0000-0000-00007A000000}"/>
    <cellStyle name="Normal_REM 17-2002" xfId="123" xr:uid="{00000000-0005-0000-0000-00007B000000}"/>
    <cellStyle name="Normal_REM 18-2002" xfId="124" xr:uid="{00000000-0005-0000-0000-00007C000000}"/>
    <cellStyle name="Normal_REM 18A-2002" xfId="125" xr:uid="{00000000-0005-0000-0000-00007D000000}"/>
    <cellStyle name="Normal_REM18A-18" xfId="126" xr:uid="{00000000-0005-0000-0000-00007E000000}"/>
    <cellStyle name="Normal_SBM-09V1.1" xfId="127" xr:uid="{00000000-0005-0000-0000-00007F000000}"/>
    <cellStyle name="Notas" xfId="128" builtinId="10" customBuiltin="1"/>
    <cellStyle name="Notas 2" xfId="129" xr:uid="{00000000-0005-0000-0000-000081000000}"/>
    <cellStyle name="Notas 2 2" xfId="130" xr:uid="{00000000-0005-0000-0000-000082000000}"/>
    <cellStyle name="Notas 2 2 2 2" xfId="140" xr:uid="{00000000-0005-0000-0000-000083000000}"/>
    <cellStyle name="Notas 3" xfId="131" xr:uid="{00000000-0005-0000-0000-000084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9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0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2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3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4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5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6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7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8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9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A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B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C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D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E00000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2" zoomScaleNormal="100" workbookViewId="0">
      <selection activeCell="D33" sqref="D33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38</v>
      </c>
      <c r="E21" s="77">
        <f>SUM(E22+E23)</f>
        <v>0</v>
      </c>
      <c r="F21" s="77">
        <f>SUM(F22+F23)</f>
        <v>38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38</v>
      </c>
      <c r="E23" s="78">
        <f>SUM(BM18A!D114:D118)</f>
        <v>0</v>
      </c>
      <c r="F23" s="80">
        <f>SUM(BM18A!E114:E118)</f>
        <v>38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</v>
      </c>
      <c r="E25" s="100"/>
      <c r="F25" s="93">
        <v>1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12</v>
      </c>
      <c r="E27" s="92"/>
      <c r="F27" s="93">
        <v>12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9</v>
      </c>
      <c r="E31" s="92"/>
      <c r="F31" s="93">
        <v>9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23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11</v>
      </c>
      <c r="E35" s="92"/>
      <c r="F35" s="93">
        <v>11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4</v>
      </c>
      <c r="E37" s="96"/>
      <c r="F37" s="97">
        <v>4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58</v>
      </c>
      <c r="C43" s="83">
        <f>BM18A!D158</f>
        <v>0</v>
      </c>
      <c r="D43" s="83">
        <f>BM18A!E158</f>
        <v>58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131</v>
      </c>
      <c r="C46" s="83">
        <f>BM18A!D148</f>
        <v>0</v>
      </c>
      <c r="D46" s="83">
        <f>BM18A!E148</f>
        <v>131</v>
      </c>
    </row>
    <row r="47" spans="1:6" ht="16.5" customHeight="1" x14ac:dyDescent="0.2">
      <c r="A47" s="90" t="s">
        <v>106</v>
      </c>
      <c r="B47" s="79">
        <f t="shared" si="4"/>
        <v>1</v>
      </c>
      <c r="C47" s="83">
        <f>BM18A!D164</f>
        <v>0</v>
      </c>
      <c r="D47" s="83">
        <f>BM18A!E164</f>
        <v>1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346</v>
      </c>
      <c r="C50" s="79">
        <f>BM18A!D177</f>
        <v>0</v>
      </c>
      <c r="D50" s="79">
        <f>BM18A!E177</f>
        <v>346</v>
      </c>
    </row>
    <row r="51" spans="1:4" ht="16.5" customHeight="1" x14ac:dyDescent="0.2">
      <c r="A51" s="223" t="s">
        <v>110</v>
      </c>
      <c r="B51" s="90">
        <f t="shared" si="4"/>
        <v>3403</v>
      </c>
      <c r="C51" s="81">
        <f>BM18A!D206</f>
        <v>0</v>
      </c>
      <c r="D51" s="81">
        <f>BM18A!E206</f>
        <v>3403</v>
      </c>
    </row>
    <row r="52" spans="1:4" ht="17.25" customHeight="1" x14ac:dyDescent="0.2">
      <c r="A52" s="91" t="s">
        <v>67</v>
      </c>
      <c r="B52" s="77">
        <f>SUM(B42:B51)</f>
        <v>3939</v>
      </c>
      <c r="C52" s="77">
        <f>SUM(C42:C51)</f>
        <v>0</v>
      </c>
      <c r="D52" s="77">
        <f>SUM(D42:D51)</f>
        <v>3939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12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8027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00000000-0002-0000-0100-000001000000}">
      <formula1>0</formula1>
      <formula2>9.99999999999999E+25</formula2>
    </dataValidation>
    <dataValidation type="whole" allowBlank="1" showInputMessage="1" showErrorMessage="1" sqref="E24 E32" xr:uid="{00000000-0002-0000-0100-000002000000}">
      <formula1>0</formula1>
      <formula2>9.99999999999999E+37</formula2>
    </dataValidation>
    <dataValidation type="whole" allowBlank="1" showInputMessage="1" showErrorMessage="1" sqref="E25 E31" xr:uid="{00000000-0002-0000-0100-000003000000}">
      <formula1>0</formula1>
      <formula2>9.99999999999999E+45</formula2>
    </dataValidation>
    <dataValidation type="whole" allowBlank="1" showInputMessage="1" showErrorMessage="1" sqref="E26 E27" xr:uid="{00000000-0002-0000-0100-000004000000}">
      <formula1>0</formula1>
      <formula2>9.99999999999999E+44</formula2>
    </dataValidation>
    <dataValidation type="whole" allowBlank="1" showInputMessage="1" showErrorMessage="1" sqref="E28 E33" xr:uid="{00000000-0002-0000-0100-000005000000}">
      <formula1>0</formula1>
      <formula2>9.99999999999999E+38</formula2>
    </dataValidation>
    <dataValidation type="whole" allowBlank="1" showInputMessage="1" showErrorMessage="1" sqref="E29 E37" xr:uid="{00000000-0002-0000-0100-000006000000}">
      <formula1>0</formula1>
      <formula2>9.99999999999999E+43</formula2>
    </dataValidation>
    <dataValidation type="whole" allowBlank="1" showInputMessage="1" showErrorMessage="1" sqref="E30" xr:uid="{00000000-0002-0000-0100-000007000000}">
      <formula1>0</formula1>
      <formula2>9.99999999999999E+41</formula2>
    </dataValidation>
    <dataValidation type="whole" allowBlank="1" showInputMessage="1" showErrorMessage="1" sqref="E34" xr:uid="{00000000-0002-0000-0100-000008000000}">
      <formula1>0</formula1>
      <formula2>9.99999999999999E+46</formula2>
    </dataValidation>
    <dataValidation type="whole" allowBlank="1" showInputMessage="1" showErrorMessage="1" sqref="E35 E36" xr:uid="{00000000-0002-0000-0100-00000900000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7" zoomScaleNormal="100" workbookViewId="0">
      <selection activeCell="G146" sqref="G14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23</v>
      </c>
      <c r="D114" s="65"/>
      <c r="E114" s="114">
        <v>23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15</v>
      </c>
      <c r="D115" s="65"/>
      <c r="E115" s="114">
        <v>15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73</v>
      </c>
      <c r="D143" s="194"/>
      <c r="E143" s="247">
        <v>73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58</v>
      </c>
      <c r="D145" s="196"/>
      <c r="E145" s="261">
        <v>58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131</v>
      </c>
      <c r="D148" s="159">
        <f t="shared" ref="D148" si="16">SUM(D143:D147)</f>
        <v>0</v>
      </c>
      <c r="E148" s="263">
        <f>SUM(E143:E147)</f>
        <v>131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</v>
      </c>
      <c r="D151" s="237"/>
      <c r="E151" s="113">
        <v>4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28</v>
      </c>
      <c r="D152" s="213"/>
      <c r="E152" s="114">
        <v>28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1</v>
      </c>
      <c r="D153" s="213"/>
      <c r="E153" s="114">
        <v>1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23</v>
      </c>
      <c r="D154" s="214"/>
      <c r="E154" s="115">
        <v>23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58</v>
      </c>
      <c r="D158" s="212">
        <f t="shared" ref="D158:F158" si="18">SUM(D151:D157)</f>
        <v>0</v>
      </c>
      <c r="E158" s="256">
        <f t="shared" si="18"/>
        <v>58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1</v>
      </c>
      <c r="D161" s="240"/>
      <c r="E161" s="266">
        <v>1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1</v>
      </c>
      <c r="D164" s="161">
        <f>SUM(D161:D163)</f>
        <v>0</v>
      </c>
      <c r="E164" s="157">
        <f>SUM(E161:E163)</f>
        <v>1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7</v>
      </c>
      <c r="D172" s="242"/>
      <c r="E172" s="113">
        <v>7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/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239</v>
      </c>
      <c r="D175" s="65"/>
      <c r="E175" s="114">
        <v>239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87</v>
      </c>
      <c r="D176" s="201"/>
      <c r="E176" s="270">
        <v>87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346</v>
      </c>
      <c r="D177" s="155">
        <f t="shared" ref="D177:E177" si="20">SUM(D172:D176)</f>
        <v>0</v>
      </c>
      <c r="E177" s="271">
        <f t="shared" si="20"/>
        <v>346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634</v>
      </c>
      <c r="D189" s="225">
        <v>0</v>
      </c>
      <c r="E189" s="266">
        <v>634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13</v>
      </c>
      <c r="D190" s="226">
        <v>0</v>
      </c>
      <c r="E190" s="255">
        <v>13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419</v>
      </c>
      <c r="D191" s="210">
        <v>0</v>
      </c>
      <c r="E191" s="255">
        <v>419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262</v>
      </c>
      <c r="D192" s="210">
        <v>0</v>
      </c>
      <c r="E192" s="255">
        <v>262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104</v>
      </c>
      <c r="D193" s="210">
        <v>0</v>
      </c>
      <c r="E193" s="255">
        <v>104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108</v>
      </c>
      <c r="D194" s="226">
        <v>0</v>
      </c>
      <c r="E194" s="277">
        <v>108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557</v>
      </c>
      <c r="D195" s="210">
        <v>0</v>
      </c>
      <c r="E195" s="255">
        <v>557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1</v>
      </c>
      <c r="D197" s="210">
        <v>0</v>
      </c>
      <c r="E197" s="255">
        <v>1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49</v>
      </c>
      <c r="D198" s="210">
        <v>0</v>
      </c>
      <c r="E198" s="255">
        <v>49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506</v>
      </c>
      <c r="D202" s="210">
        <v>0</v>
      </c>
      <c r="E202" s="255">
        <v>506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26</v>
      </c>
      <c r="D203" s="210">
        <v>0</v>
      </c>
      <c r="E203" s="255">
        <v>26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718</v>
      </c>
      <c r="D204" s="210">
        <v>0</v>
      </c>
      <c r="E204" s="255">
        <v>718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</v>
      </c>
      <c r="D205" s="211">
        <v>0</v>
      </c>
      <c r="E205" s="255">
        <v>6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3403</v>
      </c>
      <c r="D206" s="212">
        <f t="shared" ref="D206:F206" si="24">SUM(D189:D205)</f>
        <v>0</v>
      </c>
      <c r="E206" s="256">
        <f t="shared" si="24"/>
        <v>3403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00000000-0002-0000-0200-000001000000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0000000-0002-0000-0200-000002000000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00000000-0002-0000-0200-000003000000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00000000-0002-0000-0200-000004000000}">
      <formula1>0</formula1>
    </dataValidation>
    <dataValidation type="whole" allowBlank="1" showInputMessage="1" showErrorMessage="1" sqref="D131:E139" xr:uid="{00000000-0002-0000-0200-000005000000}">
      <formula1>0</formula1>
      <formula2>10000000000</formula2>
    </dataValidation>
    <dataValidation type="whole" operator="greaterThanOrEqual" allowBlank="1" showInputMessage="1" showErrorMessage="1" sqref="D189:E205 D172:E176 D161:E163 D151:E157" xr:uid="{00000000-0002-0000-0200-000006000000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00000000-0002-0000-0200-000007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300-000000000000}">
      <formula1>0</formula1>
      <formula2>10000000000</formula2>
    </dataValidation>
    <dataValidation allowBlank="1" showInputMessage="1" showErrorMessage="1" errorTitle="ERROR" error="Por favor ingrese solo Números." sqref="C6 D6 B6" xr:uid="{00000000-0002-0000-0300-000001000000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2025-08-27T21:19:09Z</dcterms:modified>
  <cp:category/>
  <cp:contentStatus/>
</cp:coreProperties>
</file>