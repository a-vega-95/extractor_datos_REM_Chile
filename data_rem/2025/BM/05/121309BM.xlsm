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 Miriam\OneDrive - I MUNICIPALIDAD DE TEMUCO\Escritorio\rem mayo 2025\309 PUEBLO NUEVO\"/>
    </mc:Choice>
  </mc:AlternateContent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0" yWindow="0" windowWidth="20490" windowHeight="8910" tabRatio="765" activeTab="2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62913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<sst xmlns="http://schemas.openxmlformats.org/spreadsheetml/2006/main" count="452" uniqueCount="397">
  <si>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</si>
  <si>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</si>
  <si>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</si>
  <si>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</si>
  <si>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</si>
  <si>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</si>
  <si>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</si>
  <si>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MAYO</t>
  </si>
  <si>
    <t>AÑO:</t>
  </si>
  <si>
    <t xml:space="preserve"> </t>
  </si>
  <si>
    <t>Versión 1.2 Marzo 2025</t>
  </si>
  <si>
    <t>Director/a Servicio de Salud o Director/a Establecimiento</t>
  </si>
  <si>
    <t>SRA.MARCELA ELGUETA HORN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</si>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</sst>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/>
    <cellStyle name="20% - Énfasis1 2 2" xfId="3"/>
    <cellStyle name="20% - Énfasis1 3" xfId="4"/>
    <cellStyle name="20% - Énfasis2" xfId="5" builtinId="34" customBuiltin="1"/>
    <cellStyle name="20% - Énfasis2 2" xfId="6"/>
    <cellStyle name="20% - Énfasis2 2 2" xfId="7"/>
    <cellStyle name="20% - Énfasis2 3" xfId="8"/>
    <cellStyle name="20% - Énfasis3" xfId="9" builtinId="38" customBuiltin="1"/>
    <cellStyle name="20% - Énfasis3 2" xfId="10"/>
    <cellStyle name="20% - Énfasis3 2 2" xfId="11"/>
    <cellStyle name="20% - Énfasis3 3" xfId="12"/>
    <cellStyle name="20% - Énfasis4" xfId="13" builtinId="42" customBuiltin="1"/>
    <cellStyle name="20% - Énfasis4 2" xfId="14"/>
    <cellStyle name="20% - Énfasis4 2 2" xfId="15"/>
    <cellStyle name="20% - Énfasis4 3" xfId="16"/>
    <cellStyle name="20% - Énfasis5" xfId="17" builtinId="46" customBuiltin="1"/>
    <cellStyle name="20% - Énfasis5 2" xfId="18"/>
    <cellStyle name="20% - Énfasis5 2 2" xfId="19"/>
    <cellStyle name="20% - Énfasis5 3" xfId="20"/>
    <cellStyle name="20% - Énfasis6" xfId="21" builtinId="50" customBuiltin="1"/>
    <cellStyle name="20% - Énfasis6 2" xfId="22"/>
    <cellStyle name="20% - Énfasis6 2 2" xfId="23"/>
    <cellStyle name="20% - Énfasis6 3" xfId="24"/>
    <cellStyle name="40% - Énfasis1" xfId="25" builtinId="31" customBuiltin="1"/>
    <cellStyle name="40% - Énfasis1 2" xfId="26"/>
    <cellStyle name="40% - Énfasis1 2 2" xfId="27"/>
    <cellStyle name="40% - Énfasis1 3" xfId="28"/>
    <cellStyle name="40% - Énfasis2" xfId="29" builtinId="35" customBuiltin="1"/>
    <cellStyle name="40% - Énfasis2 2" xfId="30"/>
    <cellStyle name="40% - Énfasis2 2 2" xfId="31"/>
    <cellStyle name="40% - Énfasis2 3" xfId="32"/>
    <cellStyle name="40% - Énfasis3" xfId="33" builtinId="39" customBuiltin="1"/>
    <cellStyle name="40% - Énfasis3 2" xfId="34"/>
    <cellStyle name="40% - Énfasis3 2 2" xfId="35"/>
    <cellStyle name="40% - Énfasis3 3" xfId="36"/>
    <cellStyle name="40% - Énfasis4" xfId="37" builtinId="43" customBuiltin="1"/>
    <cellStyle name="40% - Énfasis4 2" xfId="38"/>
    <cellStyle name="40% - Énfasis4 2 2" xfId="39"/>
    <cellStyle name="40% - Énfasis4 3" xfId="40"/>
    <cellStyle name="40% - Énfasis5" xfId="41" builtinId="47" customBuiltin="1"/>
    <cellStyle name="40% - Énfasis5 2" xfId="42"/>
    <cellStyle name="40% - Énfasis5 2 2" xfId="43"/>
    <cellStyle name="40% - Énfasis5 3" xfId="44"/>
    <cellStyle name="40% - Énfasis6" xfId="45" builtinId="51" customBuiltin="1"/>
    <cellStyle name="40% - Énfasis6 2" xfId="46"/>
    <cellStyle name="40% - Énfasis6 2 2" xfId="47"/>
    <cellStyle name="40% - Énfasis6 3" xfId="48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/>
    <cellStyle name="Escribir 2" xfId="68"/>
    <cellStyle name="Escribir 2 2" xfId="69"/>
    <cellStyle name="Escribir_SBM-09V1.1" xfId="70"/>
    <cellStyle name="Euro" xfId="71"/>
    <cellStyle name="Euro 2" xfId="72"/>
    <cellStyle name="Euro 2 2" xfId="73"/>
    <cellStyle name="Incorrecto" xfId="74" builtinId="27" customBuiltin="1"/>
    <cellStyle name="Millares" xfId="75" builtinId="3"/>
    <cellStyle name="Millares [0]" xfId="76" builtinId="6"/>
    <cellStyle name="Millares [0] 2" xfId="77"/>
    <cellStyle name="Millares [0] 2 2" xfId="78"/>
    <cellStyle name="Millares [0] 2 2 2" xfId="79"/>
    <cellStyle name="Millares [0] 2 2 2 2" xfId="80"/>
    <cellStyle name="Millares [0] 2 2 3" xfId="81"/>
    <cellStyle name="Millares [0] 2 3" xfId="82"/>
    <cellStyle name="Millares [0] 2 3 2" xfId="83"/>
    <cellStyle name="Millares [0] 2 4" xfId="84"/>
    <cellStyle name="Millares [0] 3" xfId="85"/>
    <cellStyle name="Millares [0] 3 2" xfId="86"/>
    <cellStyle name="Millares [0] 3 2 2" xfId="87"/>
    <cellStyle name="Millares [0] 3 2 2 2" xfId="88"/>
    <cellStyle name="Millares [0] 3 3" xfId="89"/>
    <cellStyle name="Millares [0] 3 3 2" xfId="90"/>
    <cellStyle name="Millares [0] 4" xfId="91"/>
    <cellStyle name="Millares [0] 4 2" xfId="92"/>
    <cellStyle name="Millares [0] 4 2 2" xfId="93"/>
    <cellStyle name="Millares [0] 4 3" xfId="94"/>
    <cellStyle name="Millares 10 3" xfId="95"/>
    <cellStyle name="Millares 2" xfId="96"/>
    <cellStyle name="Millares 2 2" xfId="97"/>
    <cellStyle name="Millares 2 2 2" xfId="98"/>
    <cellStyle name="Millares 2 3" xfId="99"/>
    <cellStyle name="Millares 2 4" xfId="100"/>
    <cellStyle name="Millares 3" xfId="101"/>
    <cellStyle name="Millares 3 2" xfId="102"/>
    <cellStyle name="Millares 3 2 2" xfId="103"/>
    <cellStyle name="Millares 3 3" xfId="104"/>
    <cellStyle name="Millares 4" xfId="105"/>
    <cellStyle name="Millares 5" xfId="106"/>
    <cellStyle name="Moneda 2" xfId="107"/>
    <cellStyle name="Moneda 2 2" xfId="108"/>
    <cellStyle name="Moneda 2 2 2" xfId="109"/>
    <cellStyle name="Moneda 2 3" xfId="110"/>
    <cellStyle name="Moneda 3" xfId="111"/>
    <cellStyle name="Neutral" xfId="112" builtinId="28" customBuiltin="1"/>
    <cellStyle name="Normal" xfId="0" builtinId="0"/>
    <cellStyle name="Normal 11" xfId="113"/>
    <cellStyle name="Normal 2" xfId="114"/>
    <cellStyle name="Normal 2 2" xfId="115"/>
    <cellStyle name="Normal 2 3" xfId="116"/>
    <cellStyle name="Normal 5" xfId="117"/>
    <cellStyle name="Normal 6" xfId="118"/>
    <cellStyle name="Normal 6 2" xfId="119"/>
    <cellStyle name="Normal 6 3" xfId="120"/>
    <cellStyle name="Normal_nombre" xfId="121"/>
    <cellStyle name="Normal_REM 08-2002" xfId="122"/>
    <cellStyle name="Normal_REM 17-2002" xfId="123"/>
    <cellStyle name="Normal_REM 18-2002" xfId="124"/>
    <cellStyle name="Normal_REM 18A-2002" xfId="125"/>
    <cellStyle name="Normal_REM18A-18" xfId="126"/>
    <cellStyle name="Normal_SBM-09V1.1" xfId="127"/>
    <cellStyle name="Notas" xfId="128" builtinId="10" customBuiltin="1"/>
    <cellStyle name="Notas 2" xfId="129"/>
    <cellStyle name="Notas 2 2" xfId="130"/>
    <cellStyle name="Notas 2 2 2 2" xfId="140"/>
    <cellStyle name="Notas 3" xfId="131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9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5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7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>
      <formula1>0</formula1>
      <formula2>9</formula2>
    </dataValidation>
    <dataValidation type="whole" allowBlank="1" showInputMessage="1" showErrorMessage="1" promptTitle="CODIGO MES:" prompt="Segundo: Entre 0 y 9" sqref="D6">
      <formula1>0</formula1>
      <formula2>9</formula2>
    </dataValidation>
    <dataValidation type="whole" allowBlank="1" showInputMessage="1" showErrorMessage="1" promptTitle="CODIGO MES:" prompt="Primer: Entre 0 y 1" sqref="C6">
      <formula1>0</formula1>
      <formula2>1</formula2>
    </dataValidation>
    <dataValidation type="whole" allowBlank="1" showInputMessage="1" showErrorMessage="1" promptTitle="CÓDIGO ESTABLECIMIENTO/ESTRATEGI" prompt="Primer: Entre 1 y 9" sqref="C3:C5">
      <formula1>1</formula1>
      <formula2>9</formula2>
    </dataValidation>
    <dataValidation type="whole" allowBlank="1" showInputMessage="1" showErrorMessage="1" promptTitle="CÓDIGO ESTABLECIMIENTO/ESTRATEGI" prompt="Segundo: Entre 0 y 9" sqref="D3:D5">
      <formula1>0</formula1>
      <formula2>9</formula2>
    </dataValidation>
    <dataValidation type="whole" allowBlank="1" showInputMessage="1" showErrorMessage="1" promptTitle="CÓDIGO ESTABLECIMIENTO/ESTRATEGI" prompt="Tercer: Entre 0 y 9" sqref="E3:E5">
      <formula1>0</formula1>
      <formula2>9</formula2>
    </dataValidation>
    <dataValidation type="whole" allowBlank="1" showInputMessage="1" showErrorMessage="1" promptTitle="CÓDIGO ESTABLECIMIENTO/ESTRATEGI" prompt="Cuarto: Entre 0 y 9" sqref="F3:F5">
      <formula1>0</formula1>
      <formula2>9</formula2>
    </dataValidation>
    <dataValidation type="whole" allowBlank="1" showInputMessage="1" showErrorMessage="1" promptTitle="CÓDIGO ESTABLECIMIENTO/ESTRATEGI" prompt="Quinto: Entre 0 y 9" sqref="G3:G5">
      <formula1>0</formula1>
      <formula2>9</formula2>
    </dataValidation>
    <dataValidation type="whole" allowBlank="1" showInputMessage="1" showErrorMessage="1" promptTitle="CÓDIGO ESTABLECIMIENTO/ESTRATEGI" prompt="Sexto: Entre 0 y 9" sqref="H3:H5">
      <formula1>0</formula1>
      <formula2>9</formula2>
    </dataValidation>
    <dataValidation type="whole" allowBlank="1" showInputMessage="1" showErrorMessage="1" promptTitle="DÍGITO REGIÓN:" prompt="Primer: Entre 0 y 1" sqref="C2">
      <formula1>0</formula1>
      <formula2>1</formula2>
    </dataValidation>
    <dataValidation type="whole" allowBlank="1" showInputMessage="1" showErrorMessage="1" promptTitle="DÍGITO COMUNA:" prompt="Primer: Entre 1 y 7" sqref="E2">
      <formula1>1</formula1>
      <formula2>7</formula2>
    </dataValidation>
    <dataValidation type="whole" allowBlank="1" showInputMessage="1" showErrorMessage="1" promptTitle="DÍGITO REGIÓN:" prompt="Segundo: Entre 0 y 9" sqref="D2">
      <formula1>0</formula1>
      <formula2>9</formula2>
    </dataValidation>
    <dataValidation type="whole" allowBlank="1" showInputMessage="1" showErrorMessage="1" promptTitle="DÍGITO COMUNA:" prompt="Segundo: Entre 0 y 9" sqref="F2">
      <formula1>0</formula1>
      <formula2>9</formula2>
    </dataValidation>
    <dataValidation type="whole" allowBlank="1" showInputMessage="1" showErrorMessage="1" promptTitle="DÍGITO COMUNA:" prompt="Tercer: Entre 0 y 9" sqref="G2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96"/>
  <sheetViews>
    <sheetView showGridLines="0" topLeftCell="A45" zoomScaleNormal="100" workbookViewId="0">
      <selection activeCell="D61" sqref="D6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</row>
    <row r="4" spans="1:6" x14ac:dyDescent="0.2">
      <c r="A4" s="50" t="str">
        <f>CONCATENATE("MES: ",NOMBRE!B6,"  ","( ",NOMBRE!C6,NOMBRE!D6," )")</f>
        <v>MES: MAYO  ( 05 )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3</v>
      </c>
      <c r="E21" s="77">
        <f>SUM(E22+E23)</f>
        <v>0</v>
      </c>
      <c r="F21" s="77">
        <f>SUM(F22+F23)</f>
        <v>3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3</v>
      </c>
      <c r="E23" s="78">
        <f>SUM(BM18A!D114:D118)</f>
        <v>0</v>
      </c>
      <c r="F23" s="80">
        <f>SUM(BM18A!E114:E118)</f>
        <v>3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3</v>
      </c>
      <c r="E25" s="100"/>
      <c r="F25" s="93">
        <v>3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3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27</v>
      </c>
      <c r="C43" s="83">
        <f>BM18A!D158</f>
        <v>0</v>
      </c>
      <c r="D43" s="83">
        <f>BM18A!E158</f>
        <v>27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409</v>
      </c>
      <c r="C46" s="83">
        <f>BM18A!D148</f>
        <v>0</v>
      </c>
      <c r="D46" s="83">
        <f>BM18A!E148</f>
        <v>409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13</v>
      </c>
      <c r="C48" s="83">
        <f>BM18A!D169</f>
        <v>0</v>
      </c>
      <c r="D48" s="83">
        <f>BM18A!E169</f>
        <v>13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120</v>
      </c>
      <c r="C50" s="79">
        <f>BM18A!D177</f>
        <v>0</v>
      </c>
      <c r="D50" s="79">
        <f>BM18A!E177</f>
        <v>120</v>
      </c>
    </row>
    <row r="51" spans="1:4" ht="16.5" customHeight="1" x14ac:dyDescent="0.2">
      <c r="A51" s="223" t="s">
        <v>110</v>
      </c>
      <c r="B51" s="90">
        <f t="shared" si="4"/>
        <v>2453</v>
      </c>
      <c r="C51" s="81">
        <f>BM18A!D206</f>
        <v>0</v>
      </c>
      <c r="D51" s="81">
        <f>BM18A!E206</f>
        <v>2453</v>
      </c>
    </row>
    <row r="52" spans="1:4" ht="17.25" customHeight="1" x14ac:dyDescent="0.2">
      <c r="A52" s="91" t="s">
        <v>67</v>
      </c>
      <c r="B52" s="77">
        <f>SUM(B42:B51)</f>
        <v>3022</v>
      </c>
      <c r="C52" s="77">
        <f>SUM(C42:C51)</f>
        <v>0</v>
      </c>
      <c r="D52" s="77">
        <f>SUM(D42:D51)</f>
        <v>3022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18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6074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>
      <formula1>0</formula1>
    </dataValidation>
    <dataValidation type="whole" allowBlank="1" showInputMessage="1" showErrorMessage="1" sqref="D49">
      <formula1>0</formula1>
      <formula2>9.99999999999999E+25</formula2>
    </dataValidation>
    <dataValidation type="whole" allowBlank="1" showInputMessage="1" showErrorMessage="1" sqref="E24 E32">
      <formula1>0</formula1>
      <formula2>9.99999999999999E+37</formula2>
    </dataValidation>
    <dataValidation type="whole" allowBlank="1" showInputMessage="1" showErrorMessage="1" sqref="E25 E31">
      <formula1>0</formula1>
      <formula2>9.99999999999999E+45</formula2>
    </dataValidation>
    <dataValidation type="whole" allowBlank="1" showInputMessage="1" showErrorMessage="1" sqref="E26 E27">
      <formula1>0</formula1>
      <formula2>9.99999999999999E+44</formula2>
    </dataValidation>
    <dataValidation type="whole" allowBlank="1" showInputMessage="1" showErrorMessage="1" sqref="E28 E33">
      <formula1>0</formula1>
      <formula2>9.99999999999999E+38</formula2>
    </dataValidation>
    <dataValidation type="whole" allowBlank="1" showInputMessage="1" showErrorMessage="1" sqref="E29 E37">
      <formula1>0</formula1>
      <formula2>9.99999999999999E+43</formula2>
    </dataValidation>
    <dataValidation type="whole" allowBlank="1" showInputMessage="1" showErrorMessage="1" sqref="E30">
      <formula1>0</formula1>
      <formula2>9.99999999999999E+41</formula2>
    </dataValidation>
    <dataValidation type="whole" allowBlank="1" showInputMessage="1" showErrorMessage="1" sqref="E34">
      <formula1>0</formula1>
      <formula2>9.99999999999999E+46</formula2>
    </dataValidation>
    <dataValidation type="whole" allowBlank="1" showInputMessage="1" showErrorMessage="1" sqref="E35 E36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U209"/>
  <sheetViews>
    <sheetView showGridLines="0" tabSelected="1" topLeftCell="A16" zoomScaleNormal="100" workbookViewId="0">
      <selection activeCell="G195" sqref="G19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MAYO  ( 05 )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3</v>
      </c>
      <c r="D114" s="65"/>
      <c r="E114" s="114">
        <v>3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395</v>
      </c>
      <c r="D143" s="194">
        <v>0</v>
      </c>
      <c r="E143" s="247">
        <v>395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14</v>
      </c>
      <c r="D144" s="195">
        <v>0</v>
      </c>
      <c r="E144" s="260">
        <v>14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>
        <v>0</v>
      </c>
      <c r="E145" s="261">
        <v>0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/>
    </row>
    <row r="148" spans="1:6" ht="15" customHeight="1" x14ac:dyDescent="0.2">
      <c r="A148" s="345" t="s">
        <v>67</v>
      </c>
      <c r="B148" s="346"/>
      <c r="C148" s="159">
        <f>SUM(C143:C147)</f>
        <v>409</v>
      </c>
      <c r="D148" s="159">
        <f t="shared" ref="D148" si="16">SUM(D143:D147)</f>
        <v>0</v>
      </c>
      <c r="E148" s="263">
        <f>SUM(E143:E147)</f>
        <v>409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3</v>
      </c>
      <c r="D151" s="237">
        <v>0</v>
      </c>
      <c r="E151" s="113">
        <v>3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22</v>
      </c>
      <c r="D152" s="213">
        <v>0</v>
      </c>
      <c r="E152" s="114">
        <v>22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>
        <v>0</v>
      </c>
      <c r="E154" s="115">
        <v>0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2</v>
      </c>
      <c r="D156" s="210">
        <v>0</v>
      </c>
      <c r="E156" s="255">
        <v>2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27</v>
      </c>
      <c r="D158" s="212">
        <f t="shared" ref="D158:F158" si="18">SUM(D151:D157)</f>
        <v>0</v>
      </c>
      <c r="E158" s="256">
        <f t="shared" si="18"/>
        <v>27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8</v>
      </c>
      <c r="D167" s="240">
        <v>0</v>
      </c>
      <c r="E167" s="266">
        <v>8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5</v>
      </c>
      <c r="D168" s="227">
        <v>0</v>
      </c>
      <c r="E168" s="267">
        <v>5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13</v>
      </c>
      <c r="D169" s="228">
        <f>SUM(D167:D168)</f>
        <v>0</v>
      </c>
      <c r="E169" s="268">
        <f>SUM(E167:E168)</f>
        <v>13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9</v>
      </c>
      <c r="D172" s="242">
        <v>0</v>
      </c>
      <c r="E172" s="113">
        <v>9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6</v>
      </c>
      <c r="D173" s="65">
        <v>0</v>
      </c>
      <c r="E173" s="114">
        <v>6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7</v>
      </c>
      <c r="D174" s="65">
        <v>0</v>
      </c>
      <c r="E174" s="114">
        <v>7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0</v>
      </c>
      <c r="D175" s="65">
        <v>0</v>
      </c>
      <c r="E175" s="114">
        <v>0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98</v>
      </c>
      <c r="D176" s="201">
        <v>0</v>
      </c>
      <c r="E176" s="270">
        <v>98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120</v>
      </c>
      <c r="D177" s="155">
        <f t="shared" ref="D177:E177" si="20">SUM(D172:D176)</f>
        <v>0</v>
      </c>
      <c r="E177" s="271">
        <f t="shared" si="20"/>
        <v>120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42</v>
      </c>
      <c r="D189" s="225">
        <v>0</v>
      </c>
      <c r="E189" s="266">
        <v>42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>
        <v>0</v>
      </c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353</v>
      </c>
      <c r="D191" s="210">
        <v>0</v>
      </c>
      <c r="E191" s="255">
        <v>353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307</v>
      </c>
      <c r="D192" s="210">
        <v>0</v>
      </c>
      <c r="E192" s="255">
        <v>307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93</v>
      </c>
      <c r="D193" s="210">
        <v>0</v>
      </c>
      <c r="E193" s="255">
        <v>93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47</v>
      </c>
      <c r="D194" s="226">
        <v>0</v>
      </c>
      <c r="E194" s="277">
        <v>47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134</v>
      </c>
      <c r="D195" s="210">
        <v>0</v>
      </c>
      <c r="E195" s="255">
        <v>134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</v>
      </c>
      <c r="D198" s="210">
        <v>0</v>
      </c>
      <c r="E198" s="255">
        <v>1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709</v>
      </c>
      <c r="D202" s="210">
        <v>0</v>
      </c>
      <c r="E202" s="255">
        <v>709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15</v>
      </c>
      <c r="D203" s="210">
        <v>0</v>
      </c>
      <c r="E203" s="255">
        <v>15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734</v>
      </c>
      <c r="D204" s="210">
        <v>0</v>
      </c>
      <c r="E204" s="255">
        <v>734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18</v>
      </c>
      <c r="D205" s="211">
        <v>0</v>
      </c>
      <c r="E205" s="255">
        <v>18</v>
      </c>
      <c r="F205" s="258">
        <v>0</v>
      </c>
    </row>
    <row r="206" spans="1:6" ht="15" customHeight="1" x14ac:dyDescent="0.2">
      <c r="A206" s="345" t="s">
        <v>67</v>
      </c>
      <c r="B206" s="346"/>
      <c r="C206" s="72">
        <f>SUM(C189:C205)</f>
        <v>2453</v>
      </c>
      <c r="D206" s="212">
        <f t="shared" ref="D206:F206" si="24">SUM(D189:D205)</f>
        <v>0</v>
      </c>
      <c r="E206" s="256">
        <f t="shared" si="24"/>
        <v>2453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/>
    <dataValidation type="whole" allowBlank="1" showInputMessage="1" showErrorMessage="1" errorTitle="ERROR" error="Por Favor ingrese solo Números." sqref="D13:F19 F146:F147 F172:F177 F131:F139 F151:F157 F161:F163 F167:F168 F143:F144 F207:F208 F204:F205 F186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>
      <formula1>0</formula1>
      <formula2>1000000000</formula2>
    </dataValidation>
    <dataValidation type="whole" allowBlank="1" showInputMessage="1" showErrorMessage="1" errorTitle="ERROR" error="Por Favor ingrese solo Números." sqref="D92:F118 D81:F87 D52:F53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>
      <formula1>0</formula1>
    </dataValidation>
    <dataValidation type="whole" allowBlank="1" showInputMessage="1" showErrorMessage="1" sqref="D131:E139">
      <formula1>0</formula1>
      <formula2>10000000000</formula2>
    </dataValidation>
    <dataValidation type="whole" operator="greaterThanOrEqual" allowBlank="1" showInputMessage="1" showErrorMessage="1" sqref="D189:E205 D172:E176 D161:E163 D151:E157">
      <formula1>0</formula1>
    </dataValidation>
    <dataValidation type="whole" operator="greaterThanOrEqual" allowBlank="1" showInputMessage="1" showErrorMessage="1" errorTitle="ERROR" error="Por Favor ingrese solo Números." sqref="D180:D185 D167:E168 D143:E147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D78"/>
  <sheetViews>
    <sheetView showGridLines="0" showZeros="0" zoomScaleNormal="100" workbookViewId="0">
      <selection activeCell="H8" sqref="H8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>
      <formula1>0</formula1>
      <formula2>10000000000</formula2>
    </dataValidation>
    <dataValidation allowBlank="1" showInputMessage="1" showErrorMessage="1" errorTitle="ERROR" error="Por favor ingrese solo Números." sqref="C6 D6 B6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MAYO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Marta Miriam</cp:lastModifiedBy>
  <cp:revision/>
  <dcterms:created xsi:type="dcterms:W3CDTF">2007-01-29T23:37:08Z</dcterms:created>
  <dcterms:modified xsi:type="dcterms:W3CDTF">2025-06-06T02:33:54Z</dcterms:modified>
  <cp:category/>
  <cp:contentStatus/>
</cp:coreProperties>
</file>