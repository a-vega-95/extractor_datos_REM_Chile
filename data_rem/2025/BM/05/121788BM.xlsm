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SERIES REM/SERIE BM/"/>
    </mc:Choice>
  </mc:AlternateContent>
  <xr:revisionPtr revIDLastSave="0" documentId="8_{F5ABA68A-7F17-4AC5-A508-32E1240DF07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<sst xmlns="http://schemas.openxmlformats.org/spreadsheetml/2006/main" count="452" uniqueCount="397">
  <si>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</si>
  <si>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</si>
  <si>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</si>
  <si>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</si>
  <si>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</si>
  <si>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</si>
  <si>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</si>
  <si>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</si>
  <si>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</si>
  <si>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</si>
  <si>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</si>
  <si>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</si>
  <si>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JOREGE VALENZUELA VASQUEZ</t>
  </si>
  <si>
    <t>ENERO</t>
  </si>
  <si>
    <t>Establecimiento de Mayor Complejidad (EMAYC)</t>
  </si>
  <si>
    <t>SERVICIO DE SALUD</t>
  </si>
  <si>
    <t>Jefe/a de Estadísticas</t>
  </si>
  <si>
    <t>SR.EVELYN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</si>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</sst>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6" sqref="G16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1" zoomScaleNormal="100" workbookViewId="0">
      <selection activeCell="F73" sqref="F73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>
      <c r="A4" s="50" t="str">
        <f>CONCATENATE("MES: ",NOMBRE!B6,"  ","( ",NOMBRE!C6,NOMBRE!D6," )")</f>
        <v>MES: MAYO  ( 05 )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80</v>
      </c>
      <c r="C46" s="83">
        <f>BM18A!D148</f>
        <v>0</v>
      </c>
      <c r="D46" s="83">
        <f>BM18A!E148</f>
        <v>80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>
      <c r="A51" s="223" t="s">
        <v>110</v>
      </c>
      <c r="B51" s="90">
        <f t="shared" si="4"/>
        <v>515</v>
      </c>
      <c r="C51" s="81">
        <f>BM18A!D206</f>
        <v>0</v>
      </c>
      <c r="D51" s="81">
        <f>BM18A!E206</f>
        <v>515</v>
      </c>
    </row>
    <row r="52" spans="1:4" ht="17.25" customHeight="1">
      <c r="A52" s="91" t="s">
        <v>67</v>
      </c>
      <c r="B52" s="77">
        <f>SUM(B42:B51)</f>
        <v>599</v>
      </c>
      <c r="C52" s="77">
        <f>SUM(C42:C51)</f>
        <v>0</v>
      </c>
      <c r="D52" s="77">
        <f>SUM(D42:D51)</f>
        <v>599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>
        <v>290</v>
      </c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1488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202" zoomScaleNormal="100" workbookViewId="0">
      <selection activeCell="E194" sqref="E194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57</v>
      </c>
      <c r="D143" s="194"/>
      <c r="E143" s="247">
        <v>57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23</v>
      </c>
      <c r="D145" s="196"/>
      <c r="E145" s="261">
        <v>23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80</v>
      </c>
      <c r="D148" s="159">
        <f t="shared" ref="D148" si="16">SUM(D143:D147)</f>
        <v>0</v>
      </c>
      <c r="E148" s="263">
        <f>SUM(E143:E147)</f>
        <v>80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2</v>
      </c>
      <c r="D175" s="65">
        <v>0</v>
      </c>
      <c r="E175" s="114">
        <v>2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</v>
      </c>
      <c r="D189" s="225"/>
      <c r="E189" s="266">
        <v>1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53</v>
      </c>
      <c r="D191" s="210"/>
      <c r="E191" s="255">
        <v>53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2</v>
      </c>
      <c r="D193" s="210">
        <v>0</v>
      </c>
      <c r="E193" s="255">
        <v>2</v>
      </c>
      <c r="F193" s="246"/>
    </row>
    <row r="194" spans="1:6" ht="15" customHeight="1">
      <c r="A194" s="203"/>
      <c r="B194" s="129" t="s">
        <v>361</v>
      </c>
      <c r="C194" s="199">
        <f t="shared" si="22"/>
        <v>6</v>
      </c>
      <c r="D194" s="226"/>
      <c r="E194" s="277">
        <v>6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59</v>
      </c>
      <c r="D195" s="210">
        <v>0</v>
      </c>
      <c r="E195" s="255">
        <v>59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186</v>
      </c>
      <c r="D202" s="210"/>
      <c r="E202" s="255">
        <v>186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198</v>
      </c>
      <c r="D204" s="210"/>
      <c r="E204" s="255">
        <v>198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10</v>
      </c>
      <c r="D205" s="211"/>
      <c r="E205" s="255">
        <v>10</v>
      </c>
      <c r="F205" s="258"/>
    </row>
    <row r="206" spans="1:6" ht="15" customHeight="1">
      <c r="A206" s="334" t="s">
        <v>67</v>
      </c>
      <c r="B206" s="336"/>
      <c r="C206" s="72">
        <f>SUM(C189:C205)</f>
        <v>515</v>
      </c>
      <c r="D206" s="212">
        <f t="shared" ref="D206:F206" si="24">SUM(D189:D205)</f>
        <v>0</v>
      </c>
      <c r="E206" s="256">
        <f t="shared" si="24"/>
        <v>515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MAYO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2025-06-04T21:32:34Z</dcterms:modified>
  <cp:category/>
  <cp:contentStatus/>
</cp:coreProperties>
</file>