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AMANECER\MAYO\"/>
    </mc:Choice>
  </mc:AlternateContent>
  <xr:revisionPtr revIDLastSave="0" documentId="13_ncr:1_{94AA0942-C0C8-47EE-B292-23732C50AC23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840" tabRatio="765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<sst xmlns="http://schemas.openxmlformats.org/spreadsheetml/2006/main" count="452" uniqueCount="397">
  <si>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</si>
  <si>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</si>
  <si>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</si>
  <si>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</si>
  <si>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</si>
  <si>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AMANECER</t>
  </si>
  <si>
    <t>MES:</t>
  </si>
  <si>
    <t>ABRIL</t>
  </si>
  <si>
    <t>AÑO:</t>
  </si>
  <si>
    <t xml:space="preserve"> </t>
  </si>
  <si>
    <t>Versión 1.2 Marzo 2025</t>
  </si>
  <si>
    <t>Director/a Servicio de Salud o Director/a Establecimiento</t>
  </si>
  <si>
    <t>SR. JORGE VALENZUELA VASQUEZ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</si>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</sst>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J18" sqref="J18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7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26</v>
      </c>
      <c r="C6" s="171">
        <v>0</v>
      </c>
      <c r="D6" s="172">
        <v>5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7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zoomScaleNormal="100" workbookViewId="0">
      <selection activeCell="H37" sqref="H37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AMANECER  ( 121307 )</v>
      </c>
    </row>
    <row r="4" spans="1:6" x14ac:dyDescent="0.2">
      <c r="A4" s="50" t="str">
        <f>CONCATENATE("MES: ",NOMBRE!B6,"  ","( ",NOMBRE!C6,NOMBRE!D6," )")</f>
        <v>MES: MAYO  ( 05 )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65</v>
      </c>
      <c r="B10" s="300"/>
      <c r="C10" s="300"/>
    </row>
    <row r="11" spans="1:6" ht="12.75" customHeight="1" x14ac:dyDescent="0.2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 x14ac:dyDescent="0.2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 x14ac:dyDescent="0.2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298"/>
      <c r="C21" s="299"/>
      <c r="D21" s="77">
        <f>SUM(E21:F21)</f>
        <v>30</v>
      </c>
      <c r="E21" s="77">
        <f>SUM(E22+E23)</f>
        <v>0</v>
      </c>
      <c r="F21" s="77">
        <f>SUM(F22+F23)</f>
        <v>30</v>
      </c>
    </row>
    <row r="22" spans="1:6" ht="17.25" customHeight="1" x14ac:dyDescent="0.2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89</v>
      </c>
      <c r="C23" s="322"/>
      <c r="D23" s="80">
        <f t="shared" ref="D23" si="2">SUM(E23:F23)</f>
        <v>30</v>
      </c>
      <c r="E23" s="78">
        <f>SUM(BM18A!D114:D118)</f>
        <v>0</v>
      </c>
      <c r="F23" s="80">
        <f>SUM(BM18A!E114:E118)</f>
        <v>30</v>
      </c>
    </row>
    <row r="24" spans="1:6" ht="17.25" customHeight="1" x14ac:dyDescent="0.2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294"/>
      <c r="B25" s="310"/>
      <c r="C25" s="134" t="s">
        <v>92</v>
      </c>
      <c r="D25" s="80">
        <f>SUM(F25)</f>
        <v>11</v>
      </c>
      <c r="E25" s="100"/>
      <c r="F25" s="93">
        <v>11</v>
      </c>
    </row>
    <row r="26" spans="1:6" ht="17.25" customHeight="1" x14ac:dyDescent="0.2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294"/>
      <c r="B27" s="310"/>
      <c r="C27" s="134" t="s">
        <v>92</v>
      </c>
      <c r="D27" s="80">
        <f t="shared" si="3"/>
        <v>9</v>
      </c>
      <c r="E27" s="92"/>
      <c r="F27" s="93">
        <v>9</v>
      </c>
    </row>
    <row r="28" spans="1:6" ht="17.25" customHeight="1" x14ac:dyDescent="0.2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294"/>
      <c r="B29" s="310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294"/>
      <c r="B31" s="310"/>
      <c r="C31" s="134" t="s">
        <v>92</v>
      </c>
      <c r="D31" s="80">
        <f t="shared" si="3"/>
        <v>10</v>
      </c>
      <c r="E31" s="92"/>
      <c r="F31" s="93">
        <v>10</v>
      </c>
    </row>
    <row r="32" spans="1:6" ht="17.25" customHeight="1" x14ac:dyDescent="0.2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92</v>
      </c>
      <c r="D33" s="80">
        <f>SUM(D25+D27+D29+D31)</f>
        <v>30</v>
      </c>
      <c r="E33" s="92"/>
      <c r="F33" s="92"/>
    </row>
    <row r="34" spans="1:6" ht="17.25" customHeight="1" x14ac:dyDescent="0.2">
      <c r="A34" s="294"/>
      <c r="B34" s="309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294"/>
      <c r="B35" s="310"/>
      <c r="C35" s="134" t="s">
        <v>92</v>
      </c>
      <c r="D35" s="81">
        <f>SUM(F35)</f>
        <v>1</v>
      </c>
      <c r="E35" s="92"/>
      <c r="F35" s="93">
        <v>1</v>
      </c>
    </row>
    <row r="36" spans="1:6" ht="17.25" customHeight="1" x14ac:dyDescent="0.2">
      <c r="A36" s="294"/>
      <c r="B36" s="309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295"/>
      <c r="B37" s="310"/>
      <c r="C37" s="134" t="s">
        <v>92</v>
      </c>
      <c r="D37" s="81">
        <f>SUM(F37)</f>
        <v>4</v>
      </c>
      <c r="E37" s="96"/>
      <c r="F37" s="97">
        <v>4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 x14ac:dyDescent="0.2">
      <c r="A41" s="297"/>
      <c r="B41" s="324"/>
      <c r="C41" s="295" t="s">
        <v>70</v>
      </c>
      <c r="D41" s="297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60</v>
      </c>
      <c r="C43" s="83">
        <f>BM18A!D158</f>
        <v>0</v>
      </c>
      <c r="D43" s="83">
        <f>BM18A!E158</f>
        <v>60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73</v>
      </c>
      <c r="C45" s="79">
        <f>SUM(BM18A!D132:D139)</f>
        <v>0</v>
      </c>
      <c r="D45" s="79">
        <f>SUM(BM18A!E132:E139)</f>
        <v>73</v>
      </c>
    </row>
    <row r="46" spans="1:6" ht="16.5" customHeight="1" x14ac:dyDescent="0.2">
      <c r="A46" s="90" t="s">
        <v>105</v>
      </c>
      <c r="B46" s="79">
        <f t="shared" si="4"/>
        <v>498</v>
      </c>
      <c r="C46" s="83">
        <f>BM18A!D148</f>
        <v>0</v>
      </c>
      <c r="D46" s="83">
        <f>BM18A!E148</f>
        <v>498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3</v>
      </c>
      <c r="C48" s="83">
        <f>BM18A!D169</f>
        <v>0</v>
      </c>
      <c r="D48" s="83">
        <f>BM18A!E169</f>
        <v>3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350</v>
      </c>
      <c r="C50" s="79">
        <f>BM18A!D177</f>
        <v>0</v>
      </c>
      <c r="D50" s="79">
        <f>BM18A!E177</f>
        <v>350</v>
      </c>
    </row>
    <row r="51" spans="1:4" ht="16.5" customHeight="1" x14ac:dyDescent="0.2">
      <c r="A51" s="223" t="s">
        <v>110</v>
      </c>
      <c r="B51" s="90">
        <f t="shared" si="4"/>
        <v>4740</v>
      </c>
      <c r="C51" s="81">
        <f>BM18A!D206</f>
        <v>0</v>
      </c>
      <c r="D51" s="81">
        <f>BM18A!E206</f>
        <v>4740</v>
      </c>
    </row>
    <row r="52" spans="1:4" ht="17.25" customHeight="1" x14ac:dyDescent="0.2">
      <c r="A52" s="91" t="s">
        <v>67</v>
      </c>
      <c r="B52" s="77">
        <f>SUM(B42:B51)</f>
        <v>5724</v>
      </c>
      <c r="C52" s="77">
        <f>SUM(C42:C51)</f>
        <v>0</v>
      </c>
      <c r="D52" s="77">
        <f>SUM(D42:D51)</f>
        <v>5724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32" t="s">
        <v>112</v>
      </c>
      <c r="B55" s="330" t="s">
        <v>67</v>
      </c>
    </row>
    <row r="56" spans="1:4" x14ac:dyDescent="0.2">
      <c r="A56" s="333"/>
      <c r="B56" s="33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 x14ac:dyDescent="0.2">
      <c r="A60" s="325" t="s">
        <v>118</v>
      </c>
      <c r="B60" s="208" t="s">
        <v>119</v>
      </c>
      <c r="C60" s="87">
        <v>18</v>
      </c>
      <c r="D60" s="84"/>
    </row>
    <row r="61" spans="1:4" ht="16.5" customHeight="1" x14ac:dyDescent="0.2">
      <c r="A61" s="326"/>
      <c r="B61" s="12" t="s">
        <v>120</v>
      </c>
      <c r="C61" s="88"/>
      <c r="D61" s="85"/>
    </row>
    <row r="62" spans="1:4" ht="16.5" customHeight="1" x14ac:dyDescent="0.2">
      <c r="A62" s="327"/>
      <c r="B62" s="13" t="s">
        <v>121</v>
      </c>
      <c r="C62" s="89"/>
      <c r="D62" s="86"/>
    </row>
    <row r="96" spans="1:1" hidden="1" x14ac:dyDescent="0.2">
      <c r="A96" s="215">
        <f>SUM(D13:D37,B42:B52,B57,C60:C62)</f>
        <v>11591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71" zoomScaleNormal="100" workbookViewId="0">
      <selection activeCell="I201" sqref="I201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AMANECER  ( 121307 )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MAYO  ( 05 )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124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139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180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79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81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223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244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30</v>
      </c>
      <c r="D114" s="65"/>
      <c r="E114" s="114">
        <v>30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299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300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305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8</v>
      </c>
      <c r="D132" s="205"/>
      <c r="E132" s="254">
        <v>8</v>
      </c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32</v>
      </c>
      <c r="D133" s="189"/>
      <c r="E133" s="255">
        <v>32</v>
      </c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16</v>
      </c>
      <c r="D136" s="189"/>
      <c r="E136" s="255">
        <v>16</v>
      </c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17</v>
      </c>
      <c r="D137" s="189"/>
      <c r="E137" s="255">
        <v>17</v>
      </c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>
        <v>0</v>
      </c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>
        <v>0</v>
      </c>
      <c r="F139" s="251"/>
    </row>
    <row r="140" spans="1:6" ht="15" customHeight="1" x14ac:dyDescent="0.2">
      <c r="A140" s="345" t="s">
        <v>67</v>
      </c>
      <c r="B140" s="346"/>
      <c r="C140" s="72">
        <f>SUM(C131:C139)</f>
        <v>73</v>
      </c>
      <c r="D140" s="72">
        <f t="shared" ref="D140:F140" si="15">SUM(D131:D139)</f>
        <v>0</v>
      </c>
      <c r="E140" s="256">
        <f t="shared" si="15"/>
        <v>73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315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486</v>
      </c>
      <c r="D143" s="194"/>
      <c r="E143" s="247">
        <v>486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12</v>
      </c>
      <c r="D144" s="195"/>
      <c r="E144" s="260">
        <v>12</v>
      </c>
      <c r="F144" s="250"/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/>
      <c r="E145" s="261"/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45" t="s">
        <v>67</v>
      </c>
      <c r="B148" s="346"/>
      <c r="C148" s="159">
        <f>SUM(C143:C147)</f>
        <v>498</v>
      </c>
      <c r="D148" s="159">
        <f t="shared" ref="D148" si="16">SUM(D143:D147)</f>
        <v>0</v>
      </c>
      <c r="E148" s="263">
        <f>SUM(E143:E147)</f>
        <v>498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323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0</v>
      </c>
      <c r="D151" s="237"/>
      <c r="E151" s="113">
        <v>0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43</v>
      </c>
      <c r="D152" s="213"/>
      <c r="E152" s="114">
        <v>43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7</v>
      </c>
      <c r="D154" s="214"/>
      <c r="E154" s="115">
        <v>7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1</v>
      </c>
      <c r="D156" s="210"/>
      <c r="E156" s="255">
        <v>1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9</v>
      </c>
      <c r="D157" s="211"/>
      <c r="E157" s="262">
        <v>9</v>
      </c>
      <c r="F157" s="258"/>
    </row>
    <row r="158" spans="1:6" ht="15" customHeight="1" x14ac:dyDescent="0.2">
      <c r="A158" s="345" t="s">
        <v>67</v>
      </c>
      <c r="B158" s="346"/>
      <c r="C158" s="72">
        <f>SUM(C151:C157)</f>
        <v>60</v>
      </c>
      <c r="D158" s="212">
        <f t="shared" ref="D158:F158" si="18">SUM(D151:D157)</f>
        <v>0</v>
      </c>
      <c r="E158" s="256">
        <f t="shared" si="18"/>
        <v>60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334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339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340</v>
      </c>
      <c r="C167" s="241">
        <f>SUM(D167:E167)</f>
        <v>1</v>
      </c>
      <c r="D167" s="240"/>
      <c r="E167" s="266">
        <v>1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2</v>
      </c>
      <c r="D168" s="227"/>
      <c r="E168" s="267">
        <v>2</v>
      </c>
      <c r="F168" s="265"/>
    </row>
    <row r="169" spans="1:6" ht="15" customHeight="1" x14ac:dyDescent="0.2">
      <c r="A169" s="345" t="s">
        <v>67</v>
      </c>
      <c r="B169" s="346"/>
      <c r="C169" s="155">
        <f>SUM(C167:C168)</f>
        <v>3</v>
      </c>
      <c r="D169" s="228">
        <f>SUM(D167:D168)</f>
        <v>0</v>
      </c>
      <c r="E169" s="268">
        <f>SUM(E167:E168)</f>
        <v>3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342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9</v>
      </c>
      <c r="D172" s="242"/>
      <c r="E172" s="113">
        <v>9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5</v>
      </c>
      <c r="D173" s="65"/>
      <c r="E173" s="114">
        <v>5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9</v>
      </c>
      <c r="D174" s="65"/>
      <c r="E174" s="114">
        <v>9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225</v>
      </c>
      <c r="D175" s="65"/>
      <c r="E175" s="114">
        <v>225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102</v>
      </c>
      <c r="D176" s="201"/>
      <c r="E176" s="270">
        <v>102</v>
      </c>
      <c r="F176" s="246"/>
    </row>
    <row r="177" spans="1:6" ht="15" customHeight="1" x14ac:dyDescent="0.2">
      <c r="A177" s="345" t="s">
        <v>67</v>
      </c>
      <c r="B177" s="346"/>
      <c r="C177" s="155">
        <f>SUM(C172:C176)</f>
        <v>350</v>
      </c>
      <c r="D177" s="155">
        <f t="shared" ref="D177:E177" si="20">SUM(D172:D176)</f>
        <v>0</v>
      </c>
      <c r="E177" s="271">
        <f t="shared" si="20"/>
        <v>350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348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110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563</v>
      </c>
      <c r="D189" s="225"/>
      <c r="E189" s="266">
        <v>563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284</v>
      </c>
      <c r="D191" s="210"/>
      <c r="E191" s="255">
        <v>284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343</v>
      </c>
      <c r="D192" s="210"/>
      <c r="E192" s="255">
        <v>343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106</v>
      </c>
      <c r="D193" s="210"/>
      <c r="E193" s="255">
        <v>106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97</v>
      </c>
      <c r="D194" s="226"/>
      <c r="E194" s="277">
        <v>97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544</v>
      </c>
      <c r="D195" s="210"/>
      <c r="E195" s="255">
        <v>544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1</v>
      </c>
      <c r="D198" s="210"/>
      <c r="E198" s="255">
        <v>1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1026</v>
      </c>
      <c r="D202" s="210"/>
      <c r="E202" s="255">
        <v>1026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17</v>
      </c>
      <c r="D203" s="210"/>
      <c r="E203" s="255">
        <v>17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1683</v>
      </c>
      <c r="D204" s="210"/>
      <c r="E204" s="255">
        <v>1683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76</v>
      </c>
      <c r="D205" s="211"/>
      <c r="E205" s="255">
        <v>76</v>
      </c>
      <c r="F205" s="258"/>
    </row>
    <row r="206" spans="1:6" ht="15" customHeight="1" x14ac:dyDescent="0.2">
      <c r="A206" s="345" t="s">
        <v>67</v>
      </c>
      <c r="B206" s="346"/>
      <c r="C206" s="72">
        <f>SUM(C189:C205)</f>
        <v>4740</v>
      </c>
      <c r="D206" s="212">
        <f t="shared" ref="D206:F206" si="24">SUM(D189:D205)</f>
        <v>0</v>
      </c>
      <c r="E206" s="256">
        <f t="shared" si="24"/>
        <v>4740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MAYO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2025-06-05T20:48:33Z</dcterms:modified>
  <cp:category/>
  <cp:contentStatus/>
</cp:coreProperties>
</file>