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arol.figueroa\Documents\REM 2025\M.VALECH\MAYO\"/>
    </mc:Choice>
  </mc:AlternateContent>
  <xr:revisionPtr revIDLastSave="0" documentId="13_ncr:1_{FFE4AE1A-7016-4468-9B9A-EFE87823F02C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activeTab="3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 l="1"/>
  <c r="C25" i="19"/>
  <c r="C68" i="19"/>
  <c r="F140" i="19"/>
  <c r="F206" i="19"/>
  <c r="F158" i="19"/>
  <c r="F148" i="19"/>
  <c r="C40" i="19" l="1"/>
  <c r="C45" i="16"/>
  <c r="C44" i="16"/>
  <c r="E23" i="16"/>
  <c r="E22" i="16"/>
  <c r="D206" i="19"/>
  <c r="C51" i="16" s="1"/>
  <c r="D177" i="19"/>
  <c r="C50" i="16" s="1"/>
  <c r="D158" i="19"/>
  <c r="D148" i="19"/>
  <c r="D140" i="19"/>
  <c r="C41" i="19"/>
  <c r="C42" i="19"/>
  <c r="E21" i="16" l="1"/>
  <c r="C46" i="16" l="1"/>
  <c r="A4" i="19" l="1"/>
  <c r="A3" i="19"/>
  <c r="A2" i="19"/>
  <c r="A4" i="16"/>
  <c r="A3" i="16"/>
  <c r="A2" i="16"/>
  <c r="D34" i="16" l="1"/>
  <c r="D25" i="16"/>
  <c r="D24" i="16"/>
  <c r="D186" i="19"/>
  <c r="C185" i="19"/>
  <c r="C184" i="19"/>
  <c r="C183" i="19"/>
  <c r="C182" i="19"/>
  <c r="C181" i="19"/>
  <c r="C180" i="19"/>
  <c r="D88" i="19"/>
  <c r="F78" i="19"/>
  <c r="D78" i="19"/>
  <c r="C67" i="19"/>
  <c r="C66" i="19"/>
  <c r="C65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D20" i="19"/>
  <c r="E14" i="16" s="1"/>
  <c r="D128" i="19"/>
  <c r="C42" i="16" s="1"/>
  <c r="F20" i="19"/>
  <c r="F88" i="19"/>
  <c r="F73" i="19"/>
  <c r="F54" i="19"/>
  <c r="F49" i="19"/>
  <c r="F43" i="19"/>
  <c r="C186" i="19" l="1"/>
  <c r="F89" i="19"/>
  <c r="D49" i="19" l="1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D73" i="19" l="1"/>
  <c r="D54" i="19"/>
  <c r="D89" i="19" l="1"/>
  <c r="A5" i="19" l="1"/>
  <c r="C49" i="16" l="1"/>
  <c r="C48" i="16"/>
  <c r="E20" i="16"/>
  <c r="E19" i="16"/>
  <c r="B49" i="16" l="1"/>
  <c r="E17" i="16"/>
  <c r="E15" i="16"/>
  <c r="E18" i="16"/>
  <c r="E16" i="16"/>
  <c r="E13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D164" i="19" l="1"/>
  <c r="C47" i="16" l="1"/>
  <c r="C52" i="16" s="1"/>
  <c r="C195" i="19" l="1"/>
  <c r="C205" i="19"/>
  <c r="C201" i="19"/>
  <c r="C194" i="19"/>
  <c r="C202" i="19"/>
  <c r="C192" i="19"/>
  <c r="C193" i="19"/>
  <c r="C190" i="19"/>
  <c r="C57" i="19"/>
  <c r="C145" i="19"/>
  <c r="C102" i="19"/>
  <c r="C118" i="19"/>
  <c r="C127" i="19"/>
  <c r="C156" i="19"/>
  <c r="C60" i="19"/>
  <c r="C96" i="19"/>
  <c r="C98" i="19"/>
  <c r="C134" i="19"/>
  <c r="C99" i="19"/>
  <c r="C135" i="19"/>
  <c r="C146" i="19"/>
  <c r="C147" i="19"/>
  <c r="C154" i="19"/>
  <c r="C76" i="19"/>
  <c r="C173" i="19"/>
  <c r="C175" i="19"/>
  <c r="C100" i="19"/>
  <c r="C139" i="19"/>
  <c r="C176" i="19"/>
  <c r="C105" i="19"/>
  <c r="C109" i="19"/>
  <c r="C83" i="19"/>
  <c r="C136" i="19"/>
  <c r="C70" i="19"/>
  <c r="C53" i="19"/>
  <c r="C15" i="19"/>
  <c r="C17" i="19"/>
  <c r="C19" i="19"/>
  <c r="C18" i="19"/>
  <c r="C14" i="19"/>
  <c r="C133" i="19"/>
  <c r="C203" i="19" l="1"/>
  <c r="C197" i="19"/>
  <c r="C189" i="19"/>
  <c r="C191" i="19"/>
  <c r="C199" i="19"/>
  <c r="C200" i="19"/>
  <c r="C204" i="19"/>
  <c r="C196" i="19"/>
  <c r="C198" i="19"/>
  <c r="D44" i="16"/>
  <c r="B44" i="16" s="1"/>
  <c r="C131" i="19"/>
  <c r="C137" i="19"/>
  <c r="C168" i="19"/>
  <c r="C82" i="19"/>
  <c r="C112" i="19"/>
  <c r="C115" i="19"/>
  <c r="C125" i="19"/>
  <c r="C172" i="19"/>
  <c r="C86" i="19"/>
  <c r="C81" i="19"/>
  <c r="C59" i="19"/>
  <c r="C143" i="19"/>
  <c r="C163" i="19"/>
  <c r="C114" i="19"/>
  <c r="C167" i="19"/>
  <c r="C71" i="19"/>
  <c r="C110" i="19"/>
  <c r="C61" i="19"/>
  <c r="C87" i="19"/>
  <c r="C103" i="19"/>
  <c r="C62" i="19"/>
  <c r="C155" i="19"/>
  <c r="C153" i="19"/>
  <c r="C161" i="19"/>
  <c r="C111" i="19"/>
  <c r="C95" i="19"/>
  <c r="C132" i="19"/>
  <c r="C116" i="19"/>
  <c r="C104" i="19"/>
  <c r="C117" i="19"/>
  <c r="C97" i="19"/>
  <c r="C94" i="19"/>
  <c r="C58" i="19"/>
  <c r="C157" i="19"/>
  <c r="C85" i="19"/>
  <c r="C124" i="19"/>
  <c r="C113" i="19"/>
  <c r="C106" i="19"/>
  <c r="C101" i="19"/>
  <c r="C151" i="19"/>
  <c r="C144" i="19"/>
  <c r="C162" i="19"/>
  <c r="C174" i="19"/>
  <c r="C84" i="19"/>
  <c r="C138" i="19"/>
  <c r="C107" i="19"/>
  <c r="C152" i="19"/>
  <c r="C93" i="19"/>
  <c r="C64" i="19"/>
  <c r="C69" i="19"/>
  <c r="C108" i="19"/>
  <c r="C126" i="19"/>
  <c r="C63" i="19"/>
  <c r="C24" i="19"/>
  <c r="C23" i="19"/>
  <c r="C52" i="19"/>
  <c r="C54" i="19" s="1"/>
  <c r="E54" i="19"/>
  <c r="F17" i="16" s="1"/>
  <c r="D17" i="16" s="1"/>
  <c r="C47" i="19"/>
  <c r="C48" i="19"/>
  <c r="C46" i="19"/>
  <c r="C16" i="19"/>
  <c r="C13" i="19"/>
  <c r="C148" i="19" l="1"/>
  <c r="C206" i="19"/>
  <c r="E206" i="19"/>
  <c r="D51" i="16" s="1"/>
  <c r="B51" i="16" s="1"/>
  <c r="E43" i="19"/>
  <c r="F15" i="16" s="1"/>
  <c r="D15" i="16" s="1"/>
  <c r="C43" i="19"/>
  <c r="C169" i="19"/>
  <c r="E169" i="19"/>
  <c r="D48" i="16" s="1"/>
  <c r="B48" i="16" s="1"/>
  <c r="C177" i="19"/>
  <c r="E177" i="19"/>
  <c r="D50" i="16" s="1"/>
  <c r="B50" i="16" s="1"/>
  <c r="E158" i="19"/>
  <c r="D43" i="16" s="1"/>
  <c r="B43" i="16" s="1"/>
  <c r="D45" i="16"/>
  <c r="B45" i="16" s="1"/>
  <c r="C128" i="19"/>
  <c r="E164" i="19"/>
  <c r="D47" i="16" s="1"/>
  <c r="B47" i="16" s="1"/>
  <c r="C92" i="19"/>
  <c r="F22" i="16"/>
  <c r="C20" i="19"/>
  <c r="E20" i="19"/>
  <c r="F14" i="16" s="1"/>
  <c r="C158" i="19"/>
  <c r="C77" i="19"/>
  <c r="C78" i="19" s="1"/>
  <c r="E78" i="19"/>
  <c r="F19" i="16" s="1"/>
  <c r="D19" i="16" s="1"/>
  <c r="E128" i="19"/>
  <c r="D42" i="16" s="1"/>
  <c r="F23" i="16"/>
  <c r="D23" i="16" s="1"/>
  <c r="C140" i="19"/>
  <c r="C164" i="19"/>
  <c r="E148" i="19"/>
  <c r="D46" i="16" s="1"/>
  <c r="B46" i="16" s="1"/>
  <c r="C88" i="19"/>
  <c r="E88" i="19"/>
  <c r="F20" i="16" s="1"/>
  <c r="D20" i="16" s="1"/>
  <c r="E140" i="19"/>
  <c r="C72" i="19"/>
  <c r="C73" i="19" s="1"/>
  <c r="E73" i="19"/>
  <c r="F18" i="16" s="1"/>
  <c r="D18" i="16" s="1"/>
  <c r="C49" i="19"/>
  <c r="E49" i="19"/>
  <c r="F16" i="16" s="1"/>
  <c r="D16" i="16" s="1"/>
  <c r="C89" i="19" l="1"/>
  <c r="E89" i="19"/>
  <c r="D52" i="16"/>
  <c r="B42" i="16"/>
  <c r="B52" i="16" s="1"/>
  <c r="F21" i="16"/>
  <c r="D21" i="16" s="1"/>
  <c r="D22" i="16"/>
  <c r="D14" i="16"/>
  <c r="F13" i="16"/>
  <c r="D13" i="16" s="1"/>
  <c r="A96" i="16" l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<sst xmlns="http://schemas.openxmlformats.org/spreadsheetml/2006/main" count="452" uniqueCount="397">
  <si>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</si>
  <si>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</si>
  <si>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</si>
  <si>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</si>
  <si>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</si>
  <si>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MES:</t>
  </si>
  <si>
    <t>MAYO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</si>
  <si>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</si>
  <si>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</si>
  <si>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</si>
  <si>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</si>
  <si>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</si>
  <si>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</si>
  <si>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</si>
  <si>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</si>
  <si>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</si>
  <si>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</si>
  <si>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</si>
  <si>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</si>
  <si>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</si>
  <si>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</si>
  <si>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</si>
  <si>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</si>
  <si>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</si>
  <si>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</si>
  <si>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</si>
  <si>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</si>
  <si>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</si>
  <si>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</si>
  <si>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</si>
  <si>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</si>
  <si>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</si>
  <si>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</si>
  <si>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</si>
  <si>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</si>
  <si>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</si>
  <si>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</si>
  <si>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</si>
  <si>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</si>
  <si>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</si>
  <si>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</si>
  <si>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</si>
  <si>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</si>
  <si>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</si>
  <si>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</si>
  <si>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</si>
  <si>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</si>
  <si>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</si>
  <si>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</si>
  <si>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</si>
  <si>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</si>
  <si>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</si>
  <si>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</si>
  <si>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</si>
  <si>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</si>
  <si>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</si>
  <si>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</si>
  <si>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</si>
  <si>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</si>
  <si>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</si>
  <si>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</si>
  <si>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</si>
  <si>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</si>
  <si>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</si>
  <si>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</si>
  <si>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</si>
  <si>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</si>
  <si>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</si>
  <si>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</si>
  <si>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</si>
  <si>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</si>
  <si>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</si>
  <si>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</si>
  <si>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</si>
  <si>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</si>
  <si>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</si>
  <si>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</si>
  <si>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</si>
  <si>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</si>
  <si>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</si>
  <si>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</si>
  <si>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</si>
  <si>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</si>
  <si>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</si>
  <si>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</si>
  <si>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</si>
  <si>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</si>
  <si>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</si>
  <si>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</si>
  <si>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</si>
  <si>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</si>
  <si>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</si>
  <si>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</si>
  <si>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</si>
  <si>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</si>
  <si>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</si>
  <si>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</si>
  <si>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</si>
  <si>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</si>
  <si>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</si>
  <si>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</si>
  <si>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</si>
  <si>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</si>
  <si>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</si>
  <si>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</si>
  <si>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</si>
  <si>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</si>
  <si>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</si>
  <si>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</si>
  <si>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</si>
  <si>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</si>
  <si>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</si>
  <si>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</si>
  <si>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</si>
  <si>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</si>
  <si>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</si>
  <si>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</si>
  <si>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</si>
  <si>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</si>
  <si>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</si>
  <si>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</si>
  <si>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</si>
  <si>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</si>
  <si>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</si>
  <si>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</si>
  <si>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</si>
  <si>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</si>
  <si>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</si>
  <si>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</si>
  <si>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</si>
  <si>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</si>
  <si>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</si>
  <si>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</si>
  <si>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</si>
  <si>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</si>
  <si>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</si>
  <si>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</si>
  <si>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</si>
  <si>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</si>
  <si>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</si>
  <si>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</si>
  <si>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</si>
  <si>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</si>
  <si>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</si>
  <si>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</si>
  <si>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</si>
  <si>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</si>
  <si>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</si>
  <si>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</si>
  <si>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</si>
  <si>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</si>
  <si>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</si>
  <si>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</si>
  <si>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</si>
  <si>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</si>
  <si>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</si>
  <si>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</si>
  <si>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</si>
  <si>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</si>
  <si>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</si>
  <si>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</si>
  <si>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</si>
  <si>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</si>
  <si>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</si>
  <si>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</si>
  <si>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</si>
  <si>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</si>
  <si>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</si>
  <si>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</si>
  <si>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</si>
  <si>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</si>
  <si>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</si>
  <si>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</si>
  <si>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</si>
  <si>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</si>
  <si>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</si>
  <si>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</si>
  <si>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</si>
  <si>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</si>
  <si>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</si>
  <si>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</si>
  <si>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</si>
  <si>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</si>
  <si>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</si>
  <si>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</si>
  <si>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</si>
  <si>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</si>
  <si>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</si>
  <si>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</si>
  <si>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</si>
  <si>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</si>
  <si>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</si>
  <si>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</si>
  <si>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</si>
  <si>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</si>
  <si>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</si>
  <si>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</si>
  <si>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</si>
  <si>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</si>
  <si>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</si>
  <si>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</si>
  <si>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</si>
  <si>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</si>
  <si>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</si>
  <si>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</si>
  <si>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</si>
  <si>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</si>
  <si>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</si>
  <si>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</si>
  <si>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</si>
  <si>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</si>
  <si>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</si>
  <si>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</si>
  <si>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</si>
  <si>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</si>
  <si>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</si>
  <si>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</si>
  <si>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</si>
  <si>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</si>
  <si>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</si>
  <si>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</si>
  <si>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</si>
  <si>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</si>
  <si>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</si>
  <si>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</si>
  <si>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</si>
  <si>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</si>
  <si>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</si>
  <si>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</si>
  <si>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</si>
  <si>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</si>
  <si>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</si>
  <si>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</si>
  <si>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</si>
  <si>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</si>
  <si>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</si>
  <si>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</si>
  <si>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</si>
  <si>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</si>
  <si>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</si>
  <si>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</si>
  <si>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</si>
  <si>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</si>
  <si>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</si>
  <si>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</si>
  <si>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</si>
  <si>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</si>
  <si>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</si>
  <si>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</si>
  <si>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</si>
  <si>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</si>
  <si>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</si>
  <si>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</si>
  <si>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</si>
  <si>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</si>
  <si>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</si>
  <si>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</si>
  <si>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</si>
  <si>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</si>
  <si>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</si>
  <si>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</si>
  <si>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</si>
  <si>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</si>
  <si>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</si>
  <si>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</si>
  <si>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</si>
  <si>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</si>
  <si>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</si>
  <si>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</si>
  <si>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</si>
  <si>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</si>
  <si>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</si>
  <si>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</si>
  <si>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</si>
  <si>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</si>
  <si>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</si>
  <si>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</si>
  <si>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</si>
  <si>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</si>
  <si>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</si>
  <si>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</si>
  <si>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</si>
  <si>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</si>
  <si>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</si>
  <si>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</si>
  <si>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</si>
  <si>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</si>
  <si>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</si>
  <si>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</si>
  <si>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</si>
  <si>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</si>
  <si>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</si>
  <si>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</si>
  <si>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</si>
  <si>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</si>
  <si>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</si>
  <si>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</si>
  <si>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</si>
  <si>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</si>
  <si>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</si>
  <si>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</si>
  <si>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</si>
  <si>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</si>
  <si>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</si>
  <si>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</si>
  <si>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</si>
  <si>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</si>
  <si>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</si>
  <si>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</si>
  <si>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</si>
  <si>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</si>
  <si>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</si>
  <si>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</si>
  <si>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</si>
  <si>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</si>
  <si>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</si>
  <si>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</si>
  <si>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</si>
  <si>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</si>
  <si>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</si>
  <si>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</si>
  <si>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</si>
  <si>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</si>
  <si>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</si>
  <si>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</si>
  <si>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</si>
  <si>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</si>
  <si>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</si>
  <si>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</si>
  <si>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</si>
  <si>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</si>
  <si>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</si>
  <si>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</si>
  <si>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</si>
  <si>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</si>
  <si>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</si>
  <si>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</si>
  <si>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</si>
  <si>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</si>
  <si>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</si>
  <si>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</si>
  <si>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</si>
  <si>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</si>
  <si>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</si>
  <si>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</si>
  <si>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</si>
  <si>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</si>
  <si>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</si>
  <si>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</si>
  <si>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</si>
  <si>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</si>
  <si>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</si>
  <si>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</si>
  <si>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</si>
  <si>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</si>
  <si>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</si>
  <si>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</si>
  <si>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</si>
  <si>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</si>
  <si>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</si>
  <si>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</si>
  <si>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</si>
  <si>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</si>
  <si>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</si>
  <si>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</si>
  <si>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</si>
  <si>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</si>
  <si>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</si>
  <si>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</si>
  <si>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</si>
  <si>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</si>
  <si>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</si>
  <si>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</si>
  <si>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</si>
  <si>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</si>
  <si>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</si>
  <si>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</si>
  <si>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</si>
  <si>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</si>
  <si>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</si>
  <si>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</si>
  <si>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</si>
  <si>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</si>
  <si>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</si>
  <si>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</si>
  <si>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</si>
  <si>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</si>
  <si>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</si>
  <si>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</si>
  <si>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</si>
  <si>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</si>
  <si>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</si>
  <si>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</si>
  <si>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</si>
  <si>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</si>
  <si>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</si>
  <si>
    <t>CENTRO DE SALUD DOCENTE ASISTENCIAL MONSEÑOR SERGIO VALECH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</si>
</sst>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295275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F14" sqref="F14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396</v>
      </c>
      <c r="C3" s="37">
        <v>1</v>
      </c>
      <c r="D3" s="38">
        <v>2</v>
      </c>
      <c r="E3" s="38">
        <v>1</v>
      </c>
      <c r="F3" s="38">
        <v>3</v>
      </c>
      <c r="G3" s="38">
        <v>5</v>
      </c>
      <c r="H3" s="39">
        <v>2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5</v>
      </c>
      <c r="B6" s="170" t="s">
        <v>6</v>
      </c>
      <c r="C6" s="171">
        <v>0</v>
      </c>
      <c r="D6" s="172">
        <v>5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7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8</v>
      </c>
    </row>
    <row r="9" spans="1:33" ht="24" customHeight="1" x14ac:dyDescent="0.15">
      <c r="A9" s="290" t="s">
        <v>9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10</v>
      </c>
      <c r="B11" s="7" t="s">
        <v>11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12</v>
      </c>
      <c r="AB11" s="35" t="s">
        <v>13</v>
      </c>
      <c r="AC11" s="108" t="s">
        <v>14</v>
      </c>
    </row>
    <row r="12" spans="1:33" ht="21" customHeight="1" x14ac:dyDescent="0.2">
      <c r="A12" s="152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 x14ac:dyDescent="0.15">
      <c r="A14" s="280" t="s">
        <v>23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6</v>
      </c>
      <c r="AB15" s="35" t="s">
        <v>26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27</v>
      </c>
      <c r="AB16" s="35" t="s">
        <v>28</v>
      </c>
      <c r="AC16" s="109"/>
    </row>
    <row r="17" spans="2:29" ht="21" customHeight="1" x14ac:dyDescent="0.15">
      <c r="B17" s="282" t="s">
        <v>29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30</v>
      </c>
      <c r="AB17" s="35" t="s">
        <v>31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32</v>
      </c>
      <c r="AB18" s="35" t="s">
        <v>33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34</v>
      </c>
      <c r="AB19" s="35" t="s">
        <v>35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36</v>
      </c>
      <c r="AB20" s="35" t="s">
        <v>37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38</v>
      </c>
      <c r="AB21" s="35" t="s">
        <v>39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40</v>
      </c>
      <c r="AB22" s="35" t="s">
        <v>41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42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43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44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45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46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47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48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49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50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51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52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53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54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55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56</v>
      </c>
      <c r="AC37" s="108"/>
    </row>
    <row r="38" spans="14:29" ht="12" customHeight="1" x14ac:dyDescent="0.15">
      <c r="AA38" s="112"/>
      <c r="AB38" s="35" t="s">
        <v>57</v>
      </c>
      <c r="AC38" s="108"/>
    </row>
    <row r="39" spans="14:29" ht="12" customHeight="1" x14ac:dyDescent="0.15">
      <c r="AA39" s="112"/>
      <c r="AB39" s="35" t="s">
        <v>58</v>
      </c>
      <c r="AC39" s="112"/>
    </row>
    <row r="40" spans="14:29" ht="12" customHeight="1" x14ac:dyDescent="0.15">
      <c r="AA40" s="112"/>
      <c r="AB40" s="35" t="s">
        <v>59</v>
      </c>
      <c r="AC40" s="112"/>
    </row>
    <row r="41" spans="14:29" ht="12" customHeight="1" x14ac:dyDescent="0.15">
      <c r="AA41" s="112"/>
      <c r="AB41" s="35" t="s">
        <v>60</v>
      </c>
      <c r="AC41" s="112"/>
    </row>
    <row r="42" spans="14:29" ht="12" customHeight="1" x14ac:dyDescent="0.15">
      <c r="AA42" s="112"/>
      <c r="AB42" s="35" t="s">
        <v>61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3" zoomScaleNormal="100" workbookViewId="0">
      <selection activeCell="C61" sqref="C61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62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DOCENTE ASISTENCIAL MONSEÑOR SERGIO VALECH  ( 121352 )</v>
      </c>
    </row>
    <row r="4" spans="1:6" x14ac:dyDescent="0.2">
      <c r="A4" s="50" t="str">
        <f>CONCATENATE("MES: ",NOMBRE!B6,"  ","( ",NOMBRE!C6,NOMBRE!D6," )")</f>
        <v>MES: MAYO  ( 05 )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63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64</v>
      </c>
      <c r="B10" s="325"/>
      <c r="C10" s="325"/>
    </row>
    <row r="11" spans="1:6" ht="12.75" customHeight="1" x14ac:dyDescent="0.2">
      <c r="A11" s="326" t="s">
        <v>65</v>
      </c>
      <c r="B11" s="327"/>
      <c r="C11" s="328"/>
      <c r="D11" s="320" t="s">
        <v>66</v>
      </c>
      <c r="E11" s="320" t="s">
        <v>67</v>
      </c>
      <c r="F11" s="292" t="s">
        <v>68</v>
      </c>
    </row>
    <row r="12" spans="1:6" ht="21.75" customHeight="1" x14ac:dyDescent="0.2">
      <c r="A12" s="329"/>
      <c r="B12" s="330"/>
      <c r="C12" s="331"/>
      <c r="D12" s="322"/>
      <c r="E12" s="322" t="s">
        <v>69</v>
      </c>
      <c r="F12" s="293" t="s">
        <v>69</v>
      </c>
    </row>
    <row r="13" spans="1:6" ht="20.25" customHeight="1" x14ac:dyDescent="0.2">
      <c r="A13" s="43" t="s">
        <v>70</v>
      </c>
      <c r="B13" s="323"/>
      <c r="C13" s="324"/>
      <c r="D13" s="76">
        <f>SUM(E13:F13)</f>
        <v>5</v>
      </c>
      <c r="E13" s="77">
        <f>SUM(E14:E20)</f>
        <v>0</v>
      </c>
      <c r="F13" s="77">
        <f>SUM(F14:F20)</f>
        <v>5</v>
      </c>
    </row>
    <row r="14" spans="1:6" ht="17.25" customHeight="1" x14ac:dyDescent="0.2">
      <c r="A14" s="44" t="s">
        <v>71</v>
      </c>
      <c r="B14" s="332" t="s">
        <v>72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73</v>
      </c>
      <c r="B15" s="306" t="s">
        <v>74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75</v>
      </c>
      <c r="B16" s="306" t="s">
        <v>76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77</v>
      </c>
      <c r="B17" s="306" t="s">
        <v>78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79</v>
      </c>
      <c r="B18" s="306" t="s">
        <v>80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81</v>
      </c>
      <c r="B19" s="304" t="s">
        <v>82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83</v>
      </c>
      <c r="B20" s="310" t="s">
        <v>84</v>
      </c>
      <c r="C20" s="311"/>
      <c r="D20" s="78">
        <f t="shared" si="1"/>
        <v>5</v>
      </c>
      <c r="E20" s="78">
        <f>BM18A!D88</f>
        <v>0</v>
      </c>
      <c r="F20" s="78">
        <f>BM18A!E88</f>
        <v>5</v>
      </c>
    </row>
    <row r="21" spans="1:6" ht="17.25" customHeight="1" x14ac:dyDescent="0.2">
      <c r="A21" s="43" t="s">
        <v>85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86</v>
      </c>
      <c r="B22" s="312" t="s">
        <v>87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88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320"/>
      <c r="B24" s="316" t="s">
        <v>89</v>
      </c>
      <c r="C24" s="180" t="s">
        <v>90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91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321"/>
      <c r="B26" s="318" t="s">
        <v>92</v>
      </c>
      <c r="C26" s="133" t="s">
        <v>90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91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321"/>
      <c r="B28" s="318" t="s">
        <v>93</v>
      </c>
      <c r="C28" s="133" t="s">
        <v>90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91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21"/>
      <c r="B30" s="318" t="s">
        <v>94</v>
      </c>
      <c r="C30" s="133" t="s">
        <v>90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91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321"/>
      <c r="B32" s="308" t="s">
        <v>95</v>
      </c>
      <c r="C32" s="133" t="s">
        <v>90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91</v>
      </c>
      <c r="D33" s="80">
        <f>SUM(D25+D27+D29+D31)</f>
        <v>0</v>
      </c>
      <c r="E33" s="92"/>
      <c r="F33" s="92"/>
    </row>
    <row r="34" spans="1:6" ht="17.25" customHeight="1" x14ac:dyDescent="0.2">
      <c r="A34" s="321"/>
      <c r="B34" s="318" t="s">
        <v>96</v>
      </c>
      <c r="C34" s="133" t="s">
        <v>90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321"/>
      <c r="B35" s="317"/>
      <c r="C35" s="134" t="s">
        <v>91</v>
      </c>
      <c r="D35" s="81">
        <f>SUM(F35)</f>
        <v>0</v>
      </c>
      <c r="E35" s="92"/>
      <c r="F35" s="93">
        <v>0</v>
      </c>
    </row>
    <row r="36" spans="1:6" ht="17.25" customHeight="1" x14ac:dyDescent="0.2">
      <c r="A36" s="321"/>
      <c r="B36" s="318" t="s">
        <v>97</v>
      </c>
      <c r="C36" s="133" t="s">
        <v>90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322"/>
      <c r="B37" s="317"/>
      <c r="C37" s="134" t="s">
        <v>91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98</v>
      </c>
      <c r="B39" s="11"/>
    </row>
    <row r="40" spans="1:6" ht="12.75" customHeight="1" x14ac:dyDescent="0.2">
      <c r="A40" s="292" t="s">
        <v>99</v>
      </c>
      <c r="B40" s="292" t="s">
        <v>66</v>
      </c>
      <c r="C40" s="320" t="s">
        <v>67</v>
      </c>
      <c r="D40" s="292" t="s">
        <v>68</v>
      </c>
    </row>
    <row r="41" spans="1:6" ht="25.5" customHeight="1" x14ac:dyDescent="0.2">
      <c r="A41" s="293"/>
      <c r="B41" s="294"/>
      <c r="C41" s="322" t="s">
        <v>69</v>
      </c>
      <c r="D41" s="293" t="s">
        <v>69</v>
      </c>
    </row>
    <row r="42" spans="1:6" ht="16.5" customHeight="1" x14ac:dyDescent="0.2">
      <c r="A42" s="90" t="s">
        <v>100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101</v>
      </c>
      <c r="B43" s="79">
        <f t="shared" si="4"/>
        <v>26</v>
      </c>
      <c r="C43" s="83">
        <f>BM18A!D158</f>
        <v>0</v>
      </c>
      <c r="D43" s="83">
        <f>BM18A!E158</f>
        <v>26</v>
      </c>
    </row>
    <row r="44" spans="1:6" ht="16.5" customHeight="1" x14ac:dyDescent="0.2">
      <c r="A44" s="90" t="s">
        <v>102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103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104</v>
      </c>
      <c r="B46" s="79">
        <f t="shared" si="4"/>
        <v>124</v>
      </c>
      <c r="C46" s="83">
        <f>BM18A!D148</f>
        <v>0</v>
      </c>
      <c r="D46" s="83">
        <f>BM18A!E148</f>
        <v>124</v>
      </c>
    </row>
    <row r="47" spans="1:6" ht="16.5" customHeight="1" x14ac:dyDescent="0.2">
      <c r="A47" s="90" t="s">
        <v>105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106</v>
      </c>
      <c r="B48" s="79">
        <f t="shared" si="4"/>
        <v>4</v>
      </c>
      <c r="C48" s="83">
        <f>BM18A!D169</f>
        <v>0</v>
      </c>
      <c r="D48" s="83">
        <f>BM18A!E169</f>
        <v>4</v>
      </c>
    </row>
    <row r="49" spans="1:4" ht="16.5" customHeight="1" x14ac:dyDescent="0.2">
      <c r="A49" s="90" t="s">
        <v>107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108</v>
      </c>
      <c r="B50" s="90">
        <f t="shared" si="4"/>
        <v>58</v>
      </c>
      <c r="C50" s="79">
        <f>BM18A!D177</f>
        <v>0</v>
      </c>
      <c r="D50" s="79">
        <f>BM18A!E177</f>
        <v>58</v>
      </c>
    </row>
    <row r="51" spans="1:4" ht="16.5" customHeight="1" x14ac:dyDescent="0.2">
      <c r="A51" s="223" t="s">
        <v>109</v>
      </c>
      <c r="B51" s="90">
        <f t="shared" si="4"/>
        <v>1162</v>
      </c>
      <c r="C51" s="81">
        <f>BM18A!D206</f>
        <v>0</v>
      </c>
      <c r="D51" s="81">
        <f>BM18A!E206</f>
        <v>1162</v>
      </c>
    </row>
    <row r="52" spans="1:4" ht="17.25" customHeight="1" x14ac:dyDescent="0.2">
      <c r="A52" s="91" t="s">
        <v>66</v>
      </c>
      <c r="B52" s="77">
        <f>SUM(B42:B51)</f>
        <v>1374</v>
      </c>
      <c r="C52" s="77">
        <f>SUM(C42:C51)</f>
        <v>0</v>
      </c>
      <c r="D52" s="77">
        <f>SUM(D42:D51)</f>
        <v>1374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110</v>
      </c>
    </row>
    <row r="55" spans="1:4" x14ac:dyDescent="0.2">
      <c r="A55" s="302" t="s">
        <v>111</v>
      </c>
      <c r="B55" s="300" t="s">
        <v>66</v>
      </c>
    </row>
    <row r="56" spans="1:4" x14ac:dyDescent="0.2">
      <c r="A56" s="303"/>
      <c r="B56" s="301"/>
    </row>
    <row r="57" spans="1:4" ht="17.25" customHeight="1" x14ac:dyDescent="0.2">
      <c r="A57" s="116" t="s">
        <v>112</v>
      </c>
      <c r="B57" s="207">
        <v>0</v>
      </c>
    </row>
    <row r="58" spans="1:4" ht="27.75" customHeight="1" x14ac:dyDescent="0.2">
      <c r="A58" s="36" t="s">
        <v>113</v>
      </c>
      <c r="D58" s="52"/>
    </row>
    <row r="59" spans="1:4" ht="32.25" customHeight="1" x14ac:dyDescent="0.2">
      <c r="A59" s="298" t="s">
        <v>114</v>
      </c>
      <c r="B59" s="299"/>
      <c r="C59" s="103" t="s">
        <v>115</v>
      </c>
      <c r="D59" s="104" t="s">
        <v>116</v>
      </c>
    </row>
    <row r="60" spans="1:4" ht="16.5" customHeight="1" x14ac:dyDescent="0.2">
      <c r="A60" s="295" t="s">
        <v>117</v>
      </c>
      <c r="B60" s="208" t="s">
        <v>118</v>
      </c>
      <c r="C60" s="87">
        <v>92</v>
      </c>
      <c r="D60" s="84">
        <v>0</v>
      </c>
    </row>
    <row r="61" spans="1:4" ht="16.5" customHeight="1" x14ac:dyDescent="0.2">
      <c r="A61" s="296"/>
      <c r="B61" s="12" t="s">
        <v>119</v>
      </c>
      <c r="C61" s="88"/>
      <c r="D61" s="85"/>
    </row>
    <row r="62" spans="1:4" ht="16.5" customHeight="1" x14ac:dyDescent="0.2">
      <c r="A62" s="297"/>
      <c r="B62" s="13" t="s">
        <v>120</v>
      </c>
      <c r="C62" s="89"/>
      <c r="D62" s="86"/>
    </row>
    <row r="96" spans="1:1" hidden="1" x14ac:dyDescent="0.2">
      <c r="A96" s="215">
        <f>SUM(D13:D37,B42:B52,B57,C60:C62)</f>
        <v>2850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85" zoomScaleNormal="100" workbookViewId="0">
      <selection activeCell="J202" sqref="J202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62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DOCENTE ASISTENCIAL MONSEÑOR SERGIO VALECH  ( 121352 )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MAYO  ( 05 )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121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64</v>
      </c>
      <c r="B9" s="120"/>
      <c r="U9" s="54"/>
    </row>
    <row r="10" spans="1:21" ht="14.1" customHeight="1" x14ac:dyDescent="0.2">
      <c r="A10" s="356" t="s">
        <v>1</v>
      </c>
      <c r="B10" s="352" t="s">
        <v>65</v>
      </c>
      <c r="C10" s="354" t="s">
        <v>66</v>
      </c>
      <c r="D10" s="352" t="s">
        <v>67</v>
      </c>
      <c r="E10" s="357" t="s">
        <v>68</v>
      </c>
      <c r="F10" s="352" t="s">
        <v>122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123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124</v>
      </c>
      <c r="B13" s="121" t="s">
        <v>125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126</v>
      </c>
      <c r="B14" s="121" t="s">
        <v>127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128</v>
      </c>
      <c r="B15" s="121" t="s">
        <v>129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130</v>
      </c>
      <c r="B16" s="121" t="s">
        <v>131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132</v>
      </c>
      <c r="B17" s="121" t="s">
        <v>133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134</v>
      </c>
      <c r="B18" s="121" t="s">
        <v>135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136</v>
      </c>
      <c r="B19" s="121" t="s">
        <v>137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46" t="s">
        <v>66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138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139</v>
      </c>
      <c r="B23" s="121" t="s">
        <v>140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141</v>
      </c>
      <c r="B24" s="121" t="s">
        <v>142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143</v>
      </c>
      <c r="B25" s="121" t="s">
        <v>144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145</v>
      </c>
      <c r="B26" s="121" t="s">
        <v>146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147</v>
      </c>
      <c r="B27" s="121" t="s">
        <v>148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149</v>
      </c>
      <c r="B28" s="121" t="s">
        <v>150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151</v>
      </c>
      <c r="B29" s="121" t="s">
        <v>152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153</v>
      </c>
      <c r="B30" s="121" t="s">
        <v>154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155</v>
      </c>
      <c r="B31" s="121" t="s">
        <v>156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157</v>
      </c>
      <c r="B32" s="121" t="s">
        <v>158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159</v>
      </c>
      <c r="B33" s="121" t="s">
        <v>160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161</v>
      </c>
      <c r="B34" s="121" t="s">
        <v>162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163</v>
      </c>
      <c r="B35" s="121" t="s">
        <v>164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165</v>
      </c>
      <c r="B36" s="121" t="s">
        <v>166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167</v>
      </c>
      <c r="B37" s="121" t="s">
        <v>168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169</v>
      </c>
      <c r="B38" s="121" t="s">
        <v>170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171</v>
      </c>
      <c r="B39" s="121" t="s">
        <v>172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173</v>
      </c>
      <c r="B40" s="121" t="s">
        <v>174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175</v>
      </c>
      <c r="B41" s="121" t="s">
        <v>176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177</v>
      </c>
      <c r="B42" s="121" t="s">
        <v>178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34" t="s">
        <v>66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179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180</v>
      </c>
      <c r="B46" s="198" t="s">
        <v>181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182</v>
      </c>
      <c r="B47" s="121" t="s">
        <v>183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184</v>
      </c>
      <c r="B48" s="121" t="s">
        <v>185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34" t="s">
        <v>66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78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186</v>
      </c>
      <c r="B52" s="198" t="s">
        <v>187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188</v>
      </c>
      <c r="B53" s="121" t="s">
        <v>189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34" t="s">
        <v>66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80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190</v>
      </c>
      <c r="B57" s="121" t="s">
        <v>191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192</v>
      </c>
      <c r="B58" s="121" t="s">
        <v>193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194</v>
      </c>
      <c r="B59" s="121" t="s">
        <v>195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196</v>
      </c>
      <c r="B60" s="121" t="s">
        <v>197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198</v>
      </c>
      <c r="B61" s="121" t="s">
        <v>199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200</v>
      </c>
      <c r="B62" s="121" t="s">
        <v>201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202</v>
      </c>
      <c r="B63" s="121" t="s">
        <v>203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204</v>
      </c>
      <c r="B64" s="121" t="s">
        <v>205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206</v>
      </c>
      <c r="B65" s="121" t="s">
        <v>207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208</v>
      </c>
      <c r="B66" s="121" t="s">
        <v>209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210</v>
      </c>
      <c r="B67" s="121" t="s">
        <v>211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212</v>
      </c>
      <c r="B68" s="121" t="s">
        <v>213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214</v>
      </c>
      <c r="B69" s="121" t="s">
        <v>215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216</v>
      </c>
      <c r="B70" s="121" t="s">
        <v>217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218</v>
      </c>
      <c r="B71" s="129" t="s">
        <v>219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220</v>
      </c>
      <c r="B72" s="129" t="s">
        <v>221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34" t="s">
        <v>66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222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223</v>
      </c>
      <c r="B76" s="121" t="s">
        <v>224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225</v>
      </c>
      <c r="B77" s="121" t="s">
        <v>226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34" t="s">
        <v>66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227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228</v>
      </c>
      <c r="B81" s="121" t="s">
        <v>229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230</v>
      </c>
      <c r="B82" s="121" t="s">
        <v>231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232</v>
      </c>
      <c r="B83" s="121" t="s">
        <v>233</v>
      </c>
      <c r="C83" s="64">
        <f t="shared" si="10"/>
        <v>5</v>
      </c>
      <c r="D83" s="65"/>
      <c r="E83" s="114">
        <v>5</v>
      </c>
      <c r="F83" s="65"/>
    </row>
    <row r="84" spans="1:6" ht="15" customHeight="1" x14ac:dyDescent="0.2">
      <c r="A84" s="57" t="s">
        <v>234</v>
      </c>
      <c r="B84" s="121" t="s">
        <v>235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236</v>
      </c>
      <c r="B85" s="121" t="s">
        <v>237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238</v>
      </c>
      <c r="B86" s="121" t="s">
        <v>239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240</v>
      </c>
      <c r="B87" s="121" t="s">
        <v>241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34" t="s">
        <v>66</v>
      </c>
      <c r="B88" s="336"/>
      <c r="C88" s="160">
        <f>SUM(C81:C87)</f>
        <v>5</v>
      </c>
      <c r="D88" s="156">
        <f>SUM(D81:D87)</f>
        <v>0</v>
      </c>
      <c r="E88" s="157">
        <f>SUM(E81:E87)</f>
        <v>5</v>
      </c>
      <c r="F88" s="156">
        <f>SUM(F81:F87)</f>
        <v>0</v>
      </c>
    </row>
    <row r="89" spans="1:6" ht="15" customHeight="1" x14ac:dyDescent="0.2">
      <c r="A89" s="334" t="s">
        <v>242</v>
      </c>
      <c r="B89" s="336"/>
      <c r="C89" s="160">
        <f>+C20+C43+C49+C54+C73+C78+C88</f>
        <v>5</v>
      </c>
      <c r="D89" s="156">
        <f>+D20+D43+D49+D54+D73+D78+D88</f>
        <v>0</v>
      </c>
      <c r="E89" s="157">
        <f>+E20+E43+E49+E54+E73+E78+E88</f>
        <v>5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243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244</v>
      </c>
      <c r="B92" s="128" t="s">
        <v>245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246</v>
      </c>
      <c r="B93" s="121" t="s">
        <v>247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248</v>
      </c>
      <c r="B94" s="121" t="s">
        <v>249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250</v>
      </c>
      <c r="B95" s="121" t="s">
        <v>251</v>
      </c>
      <c r="C95" s="64">
        <f t="shared" si="11"/>
        <v>0</v>
      </c>
      <c r="D95" s="65"/>
      <c r="E95" s="114">
        <v>0</v>
      </c>
      <c r="F95" s="65"/>
    </row>
    <row r="96" spans="1:6" ht="15" customHeight="1" x14ac:dyDescent="0.2">
      <c r="A96" s="57" t="s">
        <v>252</v>
      </c>
      <c r="B96" s="121" t="s">
        <v>253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254</v>
      </c>
      <c r="B97" s="121" t="s">
        <v>255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256</v>
      </c>
      <c r="B98" s="121" t="s">
        <v>257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258</v>
      </c>
      <c r="B99" s="121" t="s">
        <v>259</v>
      </c>
      <c r="C99" s="64">
        <f t="shared" si="11"/>
        <v>0</v>
      </c>
      <c r="D99" s="65"/>
      <c r="E99" s="114">
        <v>0</v>
      </c>
      <c r="F99" s="65"/>
    </row>
    <row r="100" spans="1:6" ht="15" customHeight="1" x14ac:dyDescent="0.2">
      <c r="A100" s="57" t="s">
        <v>260</v>
      </c>
      <c r="B100" s="121" t="s">
        <v>261</v>
      </c>
      <c r="C100" s="64">
        <f t="shared" si="11"/>
        <v>0</v>
      </c>
      <c r="D100" s="65"/>
      <c r="E100" s="114">
        <v>0</v>
      </c>
      <c r="F100" s="65"/>
    </row>
    <row r="101" spans="1:6" ht="15" customHeight="1" x14ac:dyDescent="0.2">
      <c r="A101" s="57" t="s">
        <v>262</v>
      </c>
      <c r="B101" s="121" t="s">
        <v>263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264</v>
      </c>
      <c r="B102" s="121" t="s">
        <v>265</v>
      </c>
      <c r="C102" s="64">
        <f t="shared" si="11"/>
        <v>0</v>
      </c>
      <c r="D102" s="65"/>
      <c r="E102" s="114">
        <v>0</v>
      </c>
      <c r="F102" s="65"/>
    </row>
    <row r="103" spans="1:6" ht="15" customHeight="1" x14ac:dyDescent="0.2">
      <c r="A103" s="57" t="s">
        <v>266</v>
      </c>
      <c r="B103" s="121" t="s">
        <v>267</v>
      </c>
      <c r="C103" s="64">
        <f t="shared" si="11"/>
        <v>0</v>
      </c>
      <c r="D103" s="65"/>
      <c r="E103" s="114">
        <v>0</v>
      </c>
      <c r="F103" s="65"/>
    </row>
    <row r="104" spans="1:6" ht="15" customHeight="1" x14ac:dyDescent="0.2">
      <c r="A104" s="57" t="s">
        <v>268</v>
      </c>
      <c r="B104" s="121" t="s">
        <v>269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270</v>
      </c>
      <c r="B105" s="121" t="s">
        <v>271</v>
      </c>
      <c r="C105" s="64">
        <f t="shared" si="11"/>
        <v>0</v>
      </c>
      <c r="D105" s="65"/>
      <c r="E105" s="114">
        <v>0</v>
      </c>
      <c r="F105" s="65"/>
    </row>
    <row r="106" spans="1:6" ht="15" customHeight="1" x14ac:dyDescent="0.2">
      <c r="A106" s="57" t="s">
        <v>272</v>
      </c>
      <c r="B106" s="121" t="s">
        <v>273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274</v>
      </c>
      <c r="B107" s="121" t="s">
        <v>275</v>
      </c>
      <c r="C107" s="64">
        <f t="shared" si="11"/>
        <v>0</v>
      </c>
      <c r="D107" s="65"/>
      <c r="E107" s="114">
        <v>0</v>
      </c>
      <c r="F107" s="65"/>
    </row>
    <row r="108" spans="1:6" ht="15" customHeight="1" x14ac:dyDescent="0.2">
      <c r="A108" s="57" t="s">
        <v>276</v>
      </c>
      <c r="B108" s="121" t="s">
        <v>277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278</v>
      </c>
      <c r="B109" s="121" t="s">
        <v>279</v>
      </c>
      <c r="C109" s="64">
        <f t="shared" si="11"/>
        <v>0</v>
      </c>
      <c r="D109" s="65"/>
      <c r="E109" s="114">
        <v>0</v>
      </c>
      <c r="F109" s="65"/>
    </row>
    <row r="110" spans="1:6" ht="15" customHeight="1" x14ac:dyDescent="0.2">
      <c r="A110" s="57" t="s">
        <v>280</v>
      </c>
      <c r="B110" s="121" t="s">
        <v>281</v>
      </c>
      <c r="C110" s="64">
        <f t="shared" si="11"/>
        <v>0</v>
      </c>
      <c r="D110" s="65"/>
      <c r="E110" s="114">
        <v>0</v>
      </c>
      <c r="F110" s="65"/>
    </row>
    <row r="111" spans="1:6" ht="15" customHeight="1" x14ac:dyDescent="0.2">
      <c r="A111" s="57" t="s">
        <v>282</v>
      </c>
      <c r="B111" s="121" t="s">
        <v>283</v>
      </c>
      <c r="C111" s="64">
        <f t="shared" si="11"/>
        <v>0</v>
      </c>
      <c r="D111" s="65"/>
      <c r="E111" s="114">
        <v>0</v>
      </c>
      <c r="F111" s="65"/>
    </row>
    <row r="112" spans="1:6" ht="15" customHeight="1" x14ac:dyDescent="0.2">
      <c r="A112" s="57" t="s">
        <v>284</v>
      </c>
      <c r="B112" s="121" t="s">
        <v>285</v>
      </c>
      <c r="C112" s="64">
        <f t="shared" si="11"/>
        <v>0</v>
      </c>
      <c r="D112" s="65"/>
      <c r="E112" s="114">
        <v>0</v>
      </c>
      <c r="F112" s="65"/>
    </row>
    <row r="113" spans="1:6" ht="15" customHeight="1" x14ac:dyDescent="0.2">
      <c r="A113" s="57" t="s">
        <v>286</v>
      </c>
      <c r="B113" s="121" t="s">
        <v>287</v>
      </c>
      <c r="C113" s="64">
        <f t="shared" si="11"/>
        <v>0</v>
      </c>
      <c r="D113" s="65"/>
      <c r="E113" s="114">
        <v>0</v>
      </c>
      <c r="F113" s="65"/>
    </row>
    <row r="114" spans="1:6" ht="15" customHeight="1" x14ac:dyDescent="0.2">
      <c r="A114" s="57" t="s">
        <v>288</v>
      </c>
      <c r="B114" s="121" t="s">
        <v>289</v>
      </c>
      <c r="C114" s="64">
        <f t="shared" ref="C114:C118" si="12">SUM(D114:E114)</f>
        <v>0</v>
      </c>
      <c r="D114" s="65"/>
      <c r="E114" s="114">
        <v>0</v>
      </c>
      <c r="F114" s="65"/>
    </row>
    <row r="115" spans="1:6" ht="15" customHeight="1" x14ac:dyDescent="0.2">
      <c r="A115" s="57" t="s">
        <v>290</v>
      </c>
      <c r="B115" s="121" t="s">
        <v>291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292</v>
      </c>
      <c r="B116" s="121" t="s">
        <v>293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294</v>
      </c>
      <c r="B117" s="121" t="s">
        <v>295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296</v>
      </c>
      <c r="B118" s="185" t="s">
        <v>297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298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99</v>
      </c>
      <c r="C121" s="352" t="s">
        <v>69</v>
      </c>
      <c r="D121" s="352" t="s">
        <v>67</v>
      </c>
      <c r="E121" s="357" t="s">
        <v>68</v>
      </c>
      <c r="F121" s="354" t="s">
        <v>122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299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300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301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302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303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34" t="s">
        <v>66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304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305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306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307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308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309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310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311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312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313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34" t="s">
        <v>66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314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315</v>
      </c>
      <c r="B143" s="128" t="s">
        <v>316</v>
      </c>
      <c r="C143" s="70">
        <f>SUM(D143:E143)</f>
        <v>114</v>
      </c>
      <c r="D143" s="194"/>
      <c r="E143" s="247">
        <v>114</v>
      </c>
      <c r="F143" s="257"/>
    </row>
    <row r="144" spans="1:6" ht="15" customHeight="1" x14ac:dyDescent="0.2">
      <c r="A144" s="60" t="s">
        <v>317</v>
      </c>
      <c r="B144" s="121" t="s">
        <v>318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319</v>
      </c>
      <c r="C145" s="73">
        <f>SUM(D145:E145)</f>
        <v>10</v>
      </c>
      <c r="D145" s="196"/>
      <c r="E145" s="261">
        <v>10</v>
      </c>
      <c r="F145" s="246"/>
    </row>
    <row r="146" spans="1:6" ht="15" customHeight="1" x14ac:dyDescent="0.2">
      <c r="A146" s="60"/>
      <c r="B146" s="121" t="s">
        <v>320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321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34" t="s">
        <v>66</v>
      </c>
      <c r="B148" s="336"/>
      <c r="C148" s="159">
        <f>SUM(C143:C147)</f>
        <v>124</v>
      </c>
      <c r="D148" s="159">
        <f t="shared" ref="D148" si="16">SUM(D143:D147)</f>
        <v>0</v>
      </c>
      <c r="E148" s="263">
        <f>SUM(E143:E147)</f>
        <v>124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322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323</v>
      </c>
      <c r="C151" s="74">
        <f>SUM(D151:E151)</f>
        <v>0</v>
      </c>
      <c r="D151" s="237"/>
      <c r="E151" s="113">
        <v>0</v>
      </c>
      <c r="F151" s="257"/>
    </row>
    <row r="152" spans="1:6" ht="15" customHeight="1" x14ac:dyDescent="0.2">
      <c r="A152" s="60">
        <v>1707002</v>
      </c>
      <c r="B152" s="121" t="s">
        <v>324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325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326</v>
      </c>
      <c r="C154" s="131">
        <f t="shared" si="17"/>
        <v>23</v>
      </c>
      <c r="D154" s="214"/>
      <c r="E154" s="115">
        <v>23</v>
      </c>
      <c r="F154" s="250"/>
    </row>
    <row r="155" spans="1:6" ht="15" customHeight="1" x14ac:dyDescent="0.2">
      <c r="A155" s="62" t="s">
        <v>327</v>
      </c>
      <c r="B155" s="121" t="s">
        <v>328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329</v>
      </c>
      <c r="B156" s="121" t="s">
        <v>330</v>
      </c>
      <c r="C156" s="188">
        <f>SUM(D156:E156)</f>
        <v>3</v>
      </c>
      <c r="D156" s="210"/>
      <c r="E156" s="255">
        <v>3</v>
      </c>
      <c r="F156" s="250"/>
    </row>
    <row r="157" spans="1:6" ht="15" customHeight="1" x14ac:dyDescent="0.2">
      <c r="A157" s="62" t="s">
        <v>331</v>
      </c>
      <c r="B157" s="121" t="s">
        <v>332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34" t="s">
        <v>66</v>
      </c>
      <c r="B158" s="336"/>
      <c r="C158" s="72">
        <f>SUM(C151:C157)</f>
        <v>26</v>
      </c>
      <c r="D158" s="212">
        <f t="shared" ref="D158:F158" si="18">SUM(D151:D157)</f>
        <v>0</v>
      </c>
      <c r="E158" s="256">
        <f t="shared" si="18"/>
        <v>26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333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334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335</v>
      </c>
      <c r="B162" s="121" t="s">
        <v>336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337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34" t="s">
        <v>66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338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339</v>
      </c>
      <c r="C167" s="241">
        <f>SUM(D167:E167)</f>
        <v>4</v>
      </c>
      <c r="D167" s="240"/>
      <c r="E167" s="266">
        <v>4</v>
      </c>
      <c r="F167" s="264"/>
    </row>
    <row r="168" spans="1:6" ht="15" customHeight="1" x14ac:dyDescent="0.2">
      <c r="A168" s="61">
        <v>1901022</v>
      </c>
      <c r="B168" s="129" t="s">
        <v>340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34" t="s">
        <v>66</v>
      </c>
      <c r="B169" s="336"/>
      <c r="C169" s="155">
        <f>SUM(C167:C168)</f>
        <v>4</v>
      </c>
      <c r="D169" s="228">
        <f>SUM(D167:D168)</f>
        <v>0</v>
      </c>
      <c r="E169" s="268">
        <f>SUM(E167:E168)</f>
        <v>4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341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342</v>
      </c>
      <c r="C172" s="204">
        <f>SUM(D172:E172)</f>
        <v>5</v>
      </c>
      <c r="D172" s="242"/>
      <c r="E172" s="113">
        <v>5</v>
      </c>
      <c r="F172" s="264"/>
    </row>
    <row r="173" spans="1:6" ht="15" customHeight="1" x14ac:dyDescent="0.2">
      <c r="A173" s="60"/>
      <c r="B173" s="121" t="s">
        <v>343</v>
      </c>
      <c r="C173" s="188">
        <f>SUM(D173:E173)</f>
        <v>4</v>
      </c>
      <c r="D173" s="65"/>
      <c r="E173" s="114">
        <v>4</v>
      </c>
      <c r="F173" s="246"/>
    </row>
    <row r="174" spans="1:6" ht="15" customHeight="1" x14ac:dyDescent="0.2">
      <c r="A174" s="60">
        <v>2001015</v>
      </c>
      <c r="B174" s="198" t="s">
        <v>344</v>
      </c>
      <c r="C174" s="75">
        <f>SUM(D174:E174)</f>
        <v>2</v>
      </c>
      <c r="D174" s="65"/>
      <c r="E174" s="114">
        <v>2</v>
      </c>
      <c r="F174" s="246"/>
    </row>
    <row r="175" spans="1:6" ht="15" customHeight="1" x14ac:dyDescent="0.2">
      <c r="A175" s="60"/>
      <c r="B175" s="121" t="s">
        <v>345</v>
      </c>
      <c r="C175" s="75">
        <f t="shared" ref="C175:C176" si="19">SUM(D175:E175)</f>
        <v>14</v>
      </c>
      <c r="D175" s="65"/>
      <c r="E175" s="114">
        <v>14</v>
      </c>
      <c r="F175" s="246"/>
    </row>
    <row r="176" spans="1:6" ht="15" customHeight="1" x14ac:dyDescent="0.2">
      <c r="A176" s="200"/>
      <c r="B176" s="198" t="s">
        <v>346</v>
      </c>
      <c r="C176" s="75">
        <f t="shared" si="19"/>
        <v>33</v>
      </c>
      <c r="D176" s="201"/>
      <c r="E176" s="270">
        <v>33</v>
      </c>
      <c r="F176" s="246"/>
    </row>
    <row r="177" spans="1:6" ht="15" customHeight="1" x14ac:dyDescent="0.2">
      <c r="A177" s="334" t="s">
        <v>66</v>
      </c>
      <c r="B177" s="336"/>
      <c r="C177" s="155">
        <f>SUM(C172:C176)</f>
        <v>58</v>
      </c>
      <c r="D177" s="155">
        <f t="shared" ref="D177:E177" si="20">SUM(D172:D176)</f>
        <v>0</v>
      </c>
      <c r="E177" s="271">
        <f t="shared" si="20"/>
        <v>58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347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348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349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350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351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352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353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66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109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354</v>
      </c>
      <c r="C189" s="188">
        <f t="shared" ref="C189:C194" si="22">SUM(D189:E189)</f>
        <v>15</v>
      </c>
      <c r="D189" s="225"/>
      <c r="E189" s="266">
        <v>15</v>
      </c>
      <c r="F189" s="272"/>
    </row>
    <row r="190" spans="1:6" ht="15" customHeight="1" x14ac:dyDescent="0.2">
      <c r="A190" s="202"/>
      <c r="B190" s="121" t="s">
        <v>355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356</v>
      </c>
      <c r="B191" s="121" t="s">
        <v>357</v>
      </c>
      <c r="C191" s="188">
        <f t="shared" si="22"/>
        <v>122</v>
      </c>
      <c r="D191" s="210"/>
      <c r="E191" s="255">
        <v>122</v>
      </c>
      <c r="F191" s="246"/>
    </row>
    <row r="192" spans="1:6" ht="15" customHeight="1" x14ac:dyDescent="0.2">
      <c r="A192" s="62"/>
      <c r="B192" s="129" t="s">
        <v>358</v>
      </c>
      <c r="C192" s="188">
        <f t="shared" si="22"/>
        <v>12</v>
      </c>
      <c r="D192" s="210"/>
      <c r="E192" s="255">
        <v>12</v>
      </c>
      <c r="F192" s="246"/>
    </row>
    <row r="193" spans="1:6" ht="15" customHeight="1" x14ac:dyDescent="0.2">
      <c r="A193" s="62"/>
      <c r="B193" s="129" t="s">
        <v>359</v>
      </c>
      <c r="C193" s="188">
        <f t="shared" si="22"/>
        <v>2</v>
      </c>
      <c r="D193" s="210"/>
      <c r="E193" s="255">
        <v>2</v>
      </c>
      <c r="F193" s="246"/>
    </row>
    <row r="194" spans="1:6" ht="15" customHeight="1" x14ac:dyDescent="0.2">
      <c r="A194" s="203"/>
      <c r="B194" s="129" t="s">
        <v>360</v>
      </c>
      <c r="C194" s="199">
        <f t="shared" si="22"/>
        <v>0</v>
      </c>
      <c r="D194" s="226"/>
      <c r="E194" s="277">
        <v>0</v>
      </c>
      <c r="F194" s="246"/>
    </row>
    <row r="195" spans="1:6" ht="15" customHeight="1" x14ac:dyDescent="0.2">
      <c r="A195" s="62"/>
      <c r="B195" s="129" t="s">
        <v>361</v>
      </c>
      <c r="C195" s="188">
        <f t="shared" ref="C195:C205" si="23">SUM(D195:E195)</f>
        <v>706</v>
      </c>
      <c r="D195" s="210"/>
      <c r="E195" s="255">
        <v>706</v>
      </c>
      <c r="F195" s="246"/>
    </row>
    <row r="196" spans="1:6" ht="15" customHeight="1" x14ac:dyDescent="0.2">
      <c r="A196" s="236" t="s">
        <v>362</v>
      </c>
      <c r="B196" s="121" t="s">
        <v>363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364</v>
      </c>
      <c r="B197" s="121" t="s">
        <v>365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366</v>
      </c>
      <c r="B198" s="121" t="s">
        <v>367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368</v>
      </c>
      <c r="B199" s="121" t="s">
        <v>369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370</v>
      </c>
      <c r="B200" s="121" t="s">
        <v>371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372</v>
      </c>
      <c r="B201" s="121" t="s">
        <v>373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374</v>
      </c>
      <c r="B202" s="121" t="s">
        <v>375</v>
      </c>
      <c r="C202" s="188">
        <f t="shared" si="23"/>
        <v>264</v>
      </c>
      <c r="D202" s="210"/>
      <c r="E202" s="255">
        <v>264</v>
      </c>
      <c r="F202" s="246"/>
    </row>
    <row r="203" spans="1:6" ht="15" customHeight="1" x14ac:dyDescent="0.2">
      <c r="A203" s="62" t="s">
        <v>376</v>
      </c>
      <c r="B203" s="121" t="s">
        <v>377</v>
      </c>
      <c r="C203" s="188">
        <f t="shared" si="23"/>
        <v>23</v>
      </c>
      <c r="D203" s="210"/>
      <c r="E203" s="255">
        <v>23</v>
      </c>
      <c r="F203" s="246"/>
    </row>
    <row r="204" spans="1:6" ht="15" customHeight="1" x14ac:dyDescent="0.2">
      <c r="A204" s="62" t="s">
        <v>378</v>
      </c>
      <c r="B204" s="121" t="s">
        <v>379</v>
      </c>
      <c r="C204" s="188">
        <f t="shared" si="23"/>
        <v>18</v>
      </c>
      <c r="D204" s="210"/>
      <c r="E204" s="255">
        <v>18</v>
      </c>
      <c r="F204" s="250"/>
    </row>
    <row r="205" spans="1:6" ht="15" customHeight="1" x14ac:dyDescent="0.2">
      <c r="A205" s="62" t="s">
        <v>380</v>
      </c>
      <c r="B205" s="185" t="s">
        <v>381</v>
      </c>
      <c r="C205" s="188">
        <f t="shared" si="23"/>
        <v>0</v>
      </c>
      <c r="D205" s="211"/>
      <c r="E205" s="255">
        <v>0</v>
      </c>
      <c r="F205" s="258"/>
    </row>
    <row r="206" spans="1:6" ht="15" customHeight="1" x14ac:dyDescent="0.2">
      <c r="A206" s="334" t="s">
        <v>66</v>
      </c>
      <c r="B206" s="336"/>
      <c r="C206" s="72">
        <f>SUM(C189:C205)</f>
        <v>1162</v>
      </c>
      <c r="D206" s="212">
        <f t="shared" ref="D206:F206" si="24">SUM(D189:D205)</f>
        <v>0</v>
      </c>
      <c r="E206" s="256">
        <f t="shared" si="24"/>
        <v>1162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tabSelected="1" zoomScaleNormal="100" workbookViewId="0">
      <selection activeCell="G23" sqref="G22:G23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382</v>
      </c>
      <c r="C2" s="16" t="s">
        <v>383</v>
      </c>
      <c r="D2" s="17" t="s">
        <v>384</v>
      </c>
    </row>
    <row r="3" spans="2:4" ht="19.5" customHeight="1" x14ac:dyDescent="0.2">
      <c r="B3" s="25" t="s">
        <v>385</v>
      </c>
      <c r="C3" s="24" t="s">
        <v>386</v>
      </c>
      <c r="D3" s="19">
        <f>+NOMBRE!AG2</f>
        <v>0</v>
      </c>
    </row>
    <row r="4" spans="2:4" ht="19.5" customHeight="1" x14ac:dyDescent="0.2">
      <c r="B4" s="25" t="s">
        <v>385</v>
      </c>
      <c r="C4" s="24" t="s">
        <v>387</v>
      </c>
      <c r="D4" s="19">
        <f>+NOMBRE!AG3</f>
        <v>0</v>
      </c>
    </row>
    <row r="5" spans="2:4" ht="19.5" customHeight="1" x14ac:dyDescent="0.2">
      <c r="B5" s="25" t="s">
        <v>385</v>
      </c>
      <c r="C5" s="24" t="s">
        <v>388</v>
      </c>
      <c r="D5" s="19">
        <f>+NOMBRE!AG6</f>
        <v>0</v>
      </c>
    </row>
    <row r="6" spans="2:4" ht="31.5" customHeight="1" thickBot="1" x14ac:dyDescent="0.25">
      <c r="B6" s="51" t="s">
        <v>389</v>
      </c>
      <c r="C6" s="209" t="s">
        <v>390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391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392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/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393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MAYO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394</v>
      </c>
      <c r="E5" s="147"/>
      <c r="F5" s="148"/>
      <c r="G5" s="148"/>
      <c r="H5" s="149"/>
    </row>
    <row r="6" spans="1:14" ht="27.75" customHeight="1" x14ac:dyDescent="0.2">
      <c r="B6" s="154" t="s">
        <v>395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295275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2025-06-06T16:36:53Z</dcterms:modified>
  <cp:category/>
  <cp:contentStatus/>
</cp:coreProperties>
</file>