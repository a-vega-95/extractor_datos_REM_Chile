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MAYO\"/>
    </mc:Choice>
  </mc:AlternateContent>
  <xr:revisionPtr revIDLastSave="0" documentId="13_ncr:1_{79A73D49-302C-4192-B8E6-27C6DA0EBFA7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<sst xmlns="http://schemas.openxmlformats.org/spreadsheetml/2006/main" count="452" uniqueCount="397">
  <si>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</si>
  <si>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</si>
  <si>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</si>
  <si>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</si>
  <si>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</si>
  <si>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</si>
  <si>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</si>
  <si>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MAYO</t>
  </si>
  <si>
    <t>AÑO:</t>
  </si>
  <si>
    <t xml:space="preserve"> </t>
  </si>
  <si>
    <t>Versión 1.2 Marzo 2025</t>
  </si>
  <si>
    <t>Director/a Servicio de Salud o Director/a Establecimiento</t>
  </si>
  <si>
    <t>SRA.CRISTINA CONTRERAS CARRASCO</t>
  </si>
  <si>
    <t>ENERO</t>
  </si>
  <si>
    <t>Establecimiento de Mayor Complejidad (EMAYC)</t>
  </si>
  <si>
    <t>SERVICIO DE SALUD</t>
  </si>
  <si>
    <t>Jefe/a de Estadísticas</t>
  </si>
  <si>
    <t>SRA.EVELYN SOTO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</si>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</sst>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B24" sqref="B2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5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7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0" zoomScaleNormal="100" workbookViewId="0">
      <selection activeCell="F37" sqref="F3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</row>
    <row r="4" spans="1:6" x14ac:dyDescent="0.2">
      <c r="A4" s="50" t="str">
        <f>CONCATENATE("MES: ",NOMBRE!B6,"  ","( ",NOMBRE!C6,NOMBRE!D6," )")</f>
        <v>MES: MAYO  ( 05 )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943</v>
      </c>
      <c r="E21" s="77">
        <f>SUM(E22+E23)</f>
        <v>0</v>
      </c>
      <c r="F21" s="77">
        <f>SUM(F22+F23)</f>
        <v>943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920</v>
      </c>
      <c r="E22" s="78">
        <f>SUM(BM18A!D92:D113)</f>
        <v>0</v>
      </c>
      <c r="F22" s="78">
        <f>SUM(BM18A!E92:E113)</f>
        <v>920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23</v>
      </c>
      <c r="E23" s="78">
        <f>SUM(BM18A!D114:D118)</f>
        <v>0</v>
      </c>
      <c r="F23" s="80">
        <f>SUM(BM18A!E114:E118)</f>
        <v>23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14</v>
      </c>
      <c r="E25" s="100"/>
      <c r="F25" s="93">
        <v>14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2</v>
      </c>
      <c r="E31" s="92"/>
      <c r="F31" s="93">
        <v>2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16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1</v>
      </c>
      <c r="E35" s="92"/>
      <c r="F35" s="93">
        <v>1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7</v>
      </c>
      <c r="E37" s="96"/>
      <c r="F37" s="97">
        <v>7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2</v>
      </c>
      <c r="C42" s="83">
        <f>BM18A!D128</f>
        <v>0</v>
      </c>
      <c r="D42" s="83">
        <f>BM18A!E128</f>
        <v>2</v>
      </c>
    </row>
    <row r="43" spans="1:6" ht="16.5" customHeight="1" x14ac:dyDescent="0.2">
      <c r="A43" s="90" t="s">
        <v>102</v>
      </c>
      <c r="B43" s="79">
        <f t="shared" si="4"/>
        <v>177</v>
      </c>
      <c r="C43" s="83">
        <f>BM18A!D158</f>
        <v>0</v>
      </c>
      <c r="D43" s="83">
        <f>BM18A!E158</f>
        <v>177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210</v>
      </c>
      <c r="C46" s="83">
        <f>BM18A!D148</f>
        <v>0</v>
      </c>
      <c r="D46" s="83">
        <f>BM18A!E148</f>
        <v>210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275</v>
      </c>
      <c r="C50" s="79">
        <f>BM18A!D177</f>
        <v>0</v>
      </c>
      <c r="D50" s="79">
        <f>BM18A!E177</f>
        <v>275</v>
      </c>
    </row>
    <row r="51" spans="1:4" ht="16.5" customHeight="1" x14ac:dyDescent="0.2">
      <c r="A51" s="223" t="s">
        <v>110</v>
      </c>
      <c r="B51" s="90">
        <f t="shared" si="4"/>
        <v>2151</v>
      </c>
      <c r="C51" s="81">
        <f>BM18A!D206</f>
        <v>0</v>
      </c>
      <c r="D51" s="81">
        <f>BM18A!E206</f>
        <v>2151</v>
      </c>
    </row>
    <row r="52" spans="1:4" ht="17.25" customHeight="1" x14ac:dyDescent="0.2">
      <c r="A52" s="91" t="s">
        <v>67</v>
      </c>
      <c r="B52" s="77">
        <f>SUM(B42:B51)</f>
        <v>2815</v>
      </c>
      <c r="C52" s="77">
        <f>SUM(C42:C51)</f>
        <v>0</v>
      </c>
      <c r="D52" s="77">
        <f>SUM(D42:D51)</f>
        <v>2815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150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7706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93" zoomScaleNormal="100" workbookViewId="0">
      <selection activeCell="G113" sqref="G113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MAYO  ( 05 )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158</v>
      </c>
      <c r="D95" s="65"/>
      <c r="E95" s="114">
        <v>158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34</v>
      </c>
      <c r="D99" s="65"/>
      <c r="E99" s="114">
        <v>34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4</v>
      </c>
      <c r="D100" s="65"/>
      <c r="E100" s="114">
        <v>4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45</v>
      </c>
      <c r="D102" s="65"/>
      <c r="E102" s="114">
        <v>45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77</v>
      </c>
      <c r="D103" s="65"/>
      <c r="E103" s="114">
        <v>77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1</v>
      </c>
      <c r="D104" s="65"/>
      <c r="E104" s="114">
        <v>1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3</v>
      </c>
      <c r="D105" s="65"/>
      <c r="E105" s="114">
        <v>3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26</v>
      </c>
      <c r="D106" s="65"/>
      <c r="E106" s="114">
        <v>26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112</v>
      </c>
      <c r="D107" s="65"/>
      <c r="E107" s="114">
        <v>112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45</v>
      </c>
      <c r="D109" s="65"/>
      <c r="E109" s="114">
        <v>45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2</v>
      </c>
      <c r="D110" s="65"/>
      <c r="E110" s="114">
        <v>2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180</v>
      </c>
      <c r="D111" s="65"/>
      <c r="E111" s="114">
        <v>180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233</v>
      </c>
      <c r="D113" s="65"/>
      <c r="E113" s="114">
        <v>233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16</v>
      </c>
      <c r="D114" s="65"/>
      <c r="E114" s="114">
        <v>16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7</v>
      </c>
      <c r="D115" s="65"/>
      <c r="E115" s="114">
        <v>7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2</v>
      </c>
      <c r="D124" s="68"/>
      <c r="E124" s="247">
        <v>2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2</v>
      </c>
      <c r="D128" s="156">
        <f>SUM(D124:D127)</f>
        <v>0</v>
      </c>
      <c r="E128" s="157">
        <f>SUM(E124:E127)</f>
        <v>2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210</v>
      </c>
      <c r="D143" s="194"/>
      <c r="E143" s="247">
        <v>210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210</v>
      </c>
      <c r="D148" s="159">
        <f t="shared" ref="D148" si="16">SUM(D143:D147)</f>
        <v>0</v>
      </c>
      <c r="E148" s="263">
        <f>SUM(E143:E147)</f>
        <v>210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55</v>
      </c>
      <c r="D151" s="237"/>
      <c r="E151" s="113">
        <v>55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50</v>
      </c>
      <c r="D152" s="213"/>
      <c r="E152" s="114">
        <v>50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66</v>
      </c>
      <c r="D154" s="214"/>
      <c r="E154" s="115">
        <v>66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6</v>
      </c>
      <c r="D156" s="210"/>
      <c r="E156" s="255">
        <v>6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4" t="s">
        <v>67</v>
      </c>
      <c r="B158" s="336"/>
      <c r="C158" s="72">
        <f>SUM(C151:C157)</f>
        <v>177</v>
      </c>
      <c r="D158" s="212">
        <f t="shared" ref="D158:F158" si="18">SUM(D151:D157)</f>
        <v>0</v>
      </c>
      <c r="E158" s="256">
        <f t="shared" si="18"/>
        <v>177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24</v>
      </c>
      <c r="D172" s="242"/>
      <c r="E172" s="113">
        <v>24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27</v>
      </c>
      <c r="D173" s="65"/>
      <c r="E173" s="114">
        <v>27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10</v>
      </c>
      <c r="D174" s="65"/>
      <c r="E174" s="114">
        <v>10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118</v>
      </c>
      <c r="D175" s="65"/>
      <c r="E175" s="114">
        <v>118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96</v>
      </c>
      <c r="D176" s="201"/>
      <c r="E176" s="270">
        <v>96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275</v>
      </c>
      <c r="D177" s="155">
        <f t="shared" ref="D177:E177" si="20">SUM(D172:D176)</f>
        <v>0</v>
      </c>
      <c r="E177" s="271">
        <f t="shared" si="20"/>
        <v>275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535</v>
      </c>
      <c r="D189" s="225"/>
      <c r="E189" s="266">
        <v>535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431</v>
      </c>
      <c r="D191" s="210"/>
      <c r="E191" s="255">
        <v>431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62</v>
      </c>
      <c r="D192" s="210"/>
      <c r="E192" s="255">
        <v>62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59</v>
      </c>
      <c r="D193" s="210"/>
      <c r="E193" s="255">
        <v>59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131</v>
      </c>
      <c r="D194" s="226"/>
      <c r="E194" s="277">
        <v>131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167</v>
      </c>
      <c r="D195" s="210"/>
      <c r="E195" s="255">
        <v>167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1</v>
      </c>
      <c r="D199" s="210"/>
      <c r="E199" s="255">
        <v>1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1</v>
      </c>
      <c r="D200" s="210"/>
      <c r="E200" s="255">
        <v>1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715</v>
      </c>
      <c r="D202" s="210"/>
      <c r="E202" s="255">
        <v>715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46</v>
      </c>
      <c r="D203" s="210"/>
      <c r="E203" s="255">
        <v>46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3</v>
      </c>
      <c r="D204" s="210"/>
      <c r="E204" s="255">
        <v>3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 x14ac:dyDescent="0.2">
      <c r="A206" s="334" t="s">
        <v>67</v>
      </c>
      <c r="B206" s="336"/>
      <c r="C206" s="72">
        <f>SUM(C189:C205)</f>
        <v>2151</v>
      </c>
      <c r="D206" s="212">
        <f t="shared" ref="D206:F206" si="24">SUM(D189:D205)</f>
        <v>0</v>
      </c>
      <c r="E206" s="256">
        <f t="shared" si="24"/>
        <v>2151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MAYO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2026-02-23T15:27:43Z</dcterms:modified>
  <cp:category/>
  <cp:contentStatus/>
</cp:coreProperties>
</file>