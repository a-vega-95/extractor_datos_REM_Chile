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5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licenciasminsal-my.sharepoint.com/personal/jacqueline_cerda_minsal_cl/Documents/REM- EQUIPO/REM 2025/SERIES REM/SERIE BM/"/>
    </mc:Choice>
  </mc:AlternateContent>
  <xr:revisionPtr revIDLastSave="0" documentId="8_{B8252C6D-1DC9-4488-B189-3775464951CB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<sst xmlns="http://schemas.openxmlformats.org/spreadsheetml/2006/main" count="452" uniqueCount="397">
  <si>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</si>
  <si>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</si>
  <si>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</si>
  <si>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</si>
  <si>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</si>
  <si>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COMUNITARIO DE SALUD FAMILIAR LAS QUILAS</t>
  </si>
  <si>
    <t>MES:</t>
  </si>
  <si>
    <t>SEPTIEMBRE</t>
  </si>
  <si>
    <t>AÑO:</t>
  </si>
  <si>
    <t xml:space="preserve"> </t>
  </si>
  <si>
    <t>Versión 1.2 Marzo 2025</t>
  </si>
  <si>
    <t>Director/a Servicio de Salud o Director/a Establecimiento</t>
  </si>
  <si>
    <t>SR. JORGE VALENZUELA VASQUEZ</t>
  </si>
  <si>
    <t>ENERO</t>
  </si>
  <si>
    <t>Establecimiento de Mayor Complejidad (EMAYC)</t>
  </si>
  <si>
    <t>SERVICIO DE SALUD</t>
  </si>
  <si>
    <t>Jefe/a de Estadísticas</t>
  </si>
  <si>
    <t>SRA. EVELYB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</si>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</sst>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I13" sqref="I13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8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9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7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0" zoomScaleNormal="100" workbookViewId="0">
      <selection activeCell="F54" sqref="F54"/>
    </sheetView>
  </sheetViews>
  <sheetFormatPr defaultColWidth="11.42578125" defaultRowHeight="12.7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CENTRO COMUNITARIO DE SALUD FAMILIAR LAS QUILAS  ( 121788 )</v>
      </c>
    </row>
    <row r="4" spans="1:6">
      <c r="A4" s="50" t="str">
        <f>CONCATENATE("MES: ",NOMBRE!B6,"  ","( ",NOMBRE!C6,NOMBRE!D6," )")</f>
        <v>MES: SEPTIEMBRE  ( 09 )</v>
      </c>
    </row>
    <row r="5" spans="1:6">
      <c r="A5" s="50" t="str">
        <f>CONCATENATE("AÑO: ",NOMBRE!B7)</f>
        <v>AÑO: 2025</v>
      </c>
    </row>
    <row r="8" spans="1:6" ht="29.25" customHeight="1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>
      <c r="A9" s="292"/>
      <c r="B9" s="292"/>
      <c r="C9" s="292"/>
      <c r="D9" s="292"/>
      <c r="E9" s="292"/>
      <c r="F9" s="292"/>
    </row>
    <row r="10" spans="1:6" ht="26.25" customHeight="1">
      <c r="A10" s="300" t="s">
        <v>65</v>
      </c>
      <c r="B10" s="300"/>
      <c r="C10" s="300"/>
    </row>
    <row r="11" spans="1:6" ht="12.75" customHeight="1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294"/>
      <c r="B25" s="310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294"/>
      <c r="B27" s="310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294"/>
      <c r="B31" s="310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>
      <c r="A41" s="297"/>
      <c r="B41" s="324"/>
      <c r="C41" s="295" t="s">
        <v>70</v>
      </c>
      <c r="D41" s="297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26</v>
      </c>
      <c r="C46" s="83">
        <f>BM18A!D148</f>
        <v>0</v>
      </c>
      <c r="D46" s="83">
        <f>BM18A!E148</f>
        <v>26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0</v>
      </c>
      <c r="C50" s="79">
        <f>BM18A!D177</f>
        <v>0</v>
      </c>
      <c r="D50" s="79">
        <f>BM18A!E177</f>
        <v>0</v>
      </c>
    </row>
    <row r="51" spans="1:4" ht="16.5" customHeight="1">
      <c r="A51" s="223" t="s">
        <v>110</v>
      </c>
      <c r="B51" s="90">
        <f t="shared" si="4"/>
        <v>368</v>
      </c>
      <c r="C51" s="81">
        <f>BM18A!D206</f>
        <v>0</v>
      </c>
      <c r="D51" s="81">
        <f>BM18A!E206</f>
        <v>368</v>
      </c>
    </row>
    <row r="52" spans="1:4" ht="17.25" customHeight="1">
      <c r="A52" s="91" t="s">
        <v>67</v>
      </c>
      <c r="B52" s="77">
        <f>SUM(B42:B51)</f>
        <v>394</v>
      </c>
      <c r="C52" s="77">
        <f>SUM(C42:C51)</f>
        <v>0</v>
      </c>
      <c r="D52" s="77">
        <f>SUM(D42:D51)</f>
        <v>394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32" t="s">
        <v>112</v>
      </c>
      <c r="B55" s="330" t="s">
        <v>67</v>
      </c>
    </row>
    <row r="56" spans="1:4">
      <c r="A56" s="333"/>
      <c r="B56" s="33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>
      <c r="A60" s="325" t="s">
        <v>118</v>
      </c>
      <c r="B60" s="208" t="s">
        <v>119</v>
      </c>
      <c r="C60" s="87">
        <v>199</v>
      </c>
      <c r="D60" s="84"/>
    </row>
    <row r="61" spans="1:4" ht="16.5" customHeight="1">
      <c r="A61" s="326"/>
      <c r="B61" s="12" t="s">
        <v>120</v>
      </c>
      <c r="C61" s="88"/>
      <c r="D61" s="85"/>
    </row>
    <row r="62" spans="1:4" ht="16.5" customHeight="1">
      <c r="A62" s="327"/>
      <c r="B62" s="13" t="s">
        <v>121</v>
      </c>
      <c r="C62" s="89"/>
      <c r="D62" s="86"/>
    </row>
    <row r="96" spans="1:1" hidden="1">
      <c r="A96" s="215">
        <f>SUM(D13:D37,B42:B52,B57,C60:C62)</f>
        <v>987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B186" zoomScaleNormal="100" workbookViewId="0">
      <selection activeCell="H198" sqref="H198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CENTRO COMUNITARIO DE SALUD FAMILIAR LAS QUILAS  ( 121788 )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SEPTIEMBRE  ( 09 )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61"/>
      <c r="B6" s="361"/>
      <c r="C6" s="361"/>
      <c r="U6" s="54"/>
    </row>
    <row r="7" spans="1:21" s="53" customFormat="1" ht="36.75" customHeight="1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>
      <c r="A11" s="368"/>
      <c r="B11" s="352"/>
      <c r="C11" s="342"/>
      <c r="D11" s="352"/>
      <c r="E11" s="358"/>
      <c r="F11" s="352"/>
    </row>
    <row r="12" spans="1:21" ht="15" customHeight="1">
      <c r="A12" s="364" t="s">
        <v>124</v>
      </c>
      <c r="B12" s="364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64" t="s">
        <v>139</v>
      </c>
      <c r="B22" s="364"/>
      <c r="C22" s="365"/>
      <c r="D22" s="366"/>
      <c r="E22" s="366"/>
      <c r="F22" s="367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8" t="s">
        <v>180</v>
      </c>
      <c r="B45" s="339"/>
      <c r="C45" s="370"/>
      <c r="D45" s="370"/>
      <c r="E45" s="370"/>
      <c r="F45" s="37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8" t="s">
        <v>79</v>
      </c>
      <c r="B51" s="339"/>
      <c r="C51" s="372"/>
      <c r="D51" s="372"/>
      <c r="E51" s="372"/>
      <c r="F51" s="373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8" t="s">
        <v>81</v>
      </c>
      <c r="B56" s="339"/>
      <c r="C56" s="374"/>
      <c r="D56" s="372"/>
      <c r="E56" s="372"/>
      <c r="F56" s="373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75" t="s">
        <v>223</v>
      </c>
      <c r="B75" s="376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8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59" t="s">
        <v>244</v>
      </c>
      <c r="B91" s="360"/>
      <c r="C91" s="349"/>
      <c r="D91" s="349"/>
      <c r="E91" s="349"/>
      <c r="F91" s="350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43" t="s">
        <v>299</v>
      </c>
      <c r="B120" s="344"/>
      <c r="C120" s="344"/>
      <c r="D120" s="344"/>
      <c r="E120" s="344"/>
      <c r="F120" s="344"/>
    </row>
    <row r="121" spans="1:6" ht="14.1" customHeight="1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>
      <c r="A122" s="352"/>
      <c r="B122" s="356"/>
      <c r="C122" s="352"/>
      <c r="D122" s="352"/>
      <c r="E122" s="358"/>
      <c r="F122" s="342"/>
    </row>
    <row r="123" spans="1:6" ht="15" customHeight="1">
      <c r="A123" s="338" t="s">
        <v>300</v>
      </c>
      <c r="B123" s="339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8" t="s">
        <v>305</v>
      </c>
      <c r="B130" s="339"/>
      <c r="C130" s="334"/>
      <c r="D130" s="335"/>
      <c r="E130" s="335"/>
      <c r="F130" s="336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8" t="s">
        <v>315</v>
      </c>
      <c r="B142" s="339"/>
      <c r="C142" s="334"/>
      <c r="D142" s="335"/>
      <c r="E142" s="335"/>
      <c r="F142" s="336"/>
    </row>
    <row r="143" spans="1:6" ht="15" customHeight="1">
      <c r="A143" s="59" t="s">
        <v>316</v>
      </c>
      <c r="B143" s="128" t="s">
        <v>317</v>
      </c>
      <c r="C143" s="70">
        <f>SUM(D143:E143)</f>
        <v>26</v>
      </c>
      <c r="D143" s="194"/>
      <c r="E143" s="247">
        <v>26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45" t="s">
        <v>67</v>
      </c>
      <c r="B148" s="346"/>
      <c r="C148" s="159">
        <f>SUM(C143:C147)</f>
        <v>26</v>
      </c>
      <c r="D148" s="159">
        <f t="shared" ref="D148" si="16">SUM(D143:D147)</f>
        <v>0</v>
      </c>
      <c r="E148" s="263">
        <f>SUM(E143:E147)</f>
        <v>26</v>
      </c>
      <c r="F148" s="259">
        <f>SUM(F143:F147)</f>
        <v>0</v>
      </c>
    </row>
    <row r="149" spans="1:6" ht="15" customHeight="1">
      <c r="A149" s="130"/>
      <c r="B149" s="337"/>
      <c r="C149" s="337"/>
      <c r="D149" s="337"/>
      <c r="E149" s="337"/>
      <c r="F149" s="337"/>
    </row>
    <row r="150" spans="1:6" ht="15" customHeight="1">
      <c r="A150" s="353" t="s">
        <v>323</v>
      </c>
      <c r="B150" s="354"/>
      <c r="C150" s="345"/>
      <c r="D150" s="347"/>
      <c r="E150" s="347"/>
      <c r="F150" s="34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45" t="s">
        <v>67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8" t="s">
        <v>334</v>
      </c>
      <c r="B160" s="339"/>
      <c r="C160" s="345"/>
      <c r="D160" s="347"/>
      <c r="E160" s="347"/>
      <c r="F160" s="34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8" t="s">
        <v>339</v>
      </c>
      <c r="B166" s="339"/>
      <c r="C166" s="345"/>
      <c r="D166" s="347"/>
      <c r="E166" s="347"/>
      <c r="F166" s="34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48"/>
      <c r="B170" s="348"/>
      <c r="C170" s="348"/>
      <c r="D170" s="348"/>
      <c r="E170" s="348"/>
      <c r="F170" s="348"/>
    </row>
    <row r="171" spans="1:6" ht="15" customHeight="1">
      <c r="A171" s="338" t="s">
        <v>342</v>
      </c>
      <c r="B171" s="339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0</v>
      </c>
      <c r="D172" s="242"/>
      <c r="E172" s="113"/>
      <c r="F172" s="264"/>
    </row>
    <row r="173" spans="1:6" ht="15" customHeight="1">
      <c r="A173" s="60"/>
      <c r="B173" s="121" t="s">
        <v>344</v>
      </c>
      <c r="C173" s="188">
        <f>SUM(D173:E173)</f>
        <v>0</v>
      </c>
      <c r="D173" s="65"/>
      <c r="E173" s="114"/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0</v>
      </c>
      <c r="D175" s="65"/>
      <c r="E175" s="114"/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>
      <c r="A177" s="345" t="s">
        <v>67</v>
      </c>
      <c r="B177" s="346"/>
      <c r="C177" s="155">
        <f>SUM(C172:C176)</f>
        <v>0</v>
      </c>
      <c r="D177" s="155">
        <f t="shared" ref="D177:E177" si="20">SUM(D172:D176)</f>
        <v>0</v>
      </c>
      <c r="E177" s="271">
        <f t="shared" si="20"/>
        <v>0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8" t="s">
        <v>348</v>
      </c>
      <c r="B179" s="339"/>
      <c r="C179" s="338"/>
      <c r="D179" s="339"/>
      <c r="E179" s="339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37"/>
      <c r="B187" s="337"/>
      <c r="C187" s="337"/>
      <c r="D187" s="337"/>
      <c r="E187" s="337"/>
      <c r="F187" s="337"/>
    </row>
    <row r="188" spans="1:6" ht="15" customHeight="1">
      <c r="A188" s="338" t="s">
        <v>110</v>
      </c>
      <c r="B188" s="339"/>
      <c r="C188" s="334"/>
      <c r="D188" s="335"/>
      <c r="E188" s="335"/>
      <c r="F188" s="336"/>
    </row>
    <row r="189" spans="1:6" ht="15" customHeight="1">
      <c r="A189" s="62"/>
      <c r="B189" s="128" t="s">
        <v>355</v>
      </c>
      <c r="C189" s="188">
        <f t="shared" ref="C189:C194" si="22">SUM(D189:E189)</f>
        <v>2</v>
      </c>
      <c r="D189" s="225">
        <v>0</v>
      </c>
      <c r="E189" s="266">
        <v>2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53</v>
      </c>
      <c r="D191" s="210"/>
      <c r="E191" s="255">
        <v>53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/>
      <c r="F192" s="246"/>
    </row>
    <row r="193" spans="1:6" ht="15" customHeight="1">
      <c r="A193" s="62"/>
      <c r="B193" s="129" t="s">
        <v>360</v>
      </c>
      <c r="C193" s="188">
        <f t="shared" si="22"/>
        <v>6</v>
      </c>
      <c r="D193" s="210"/>
      <c r="E193" s="255">
        <v>6</v>
      </c>
      <c r="F193" s="246"/>
    </row>
    <row r="194" spans="1:6" ht="15" customHeight="1">
      <c r="A194" s="203"/>
      <c r="B194" s="129" t="s">
        <v>361</v>
      </c>
      <c r="C194" s="199">
        <f t="shared" si="22"/>
        <v>9</v>
      </c>
      <c r="D194" s="226"/>
      <c r="E194" s="277">
        <v>9</v>
      </c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60</v>
      </c>
      <c r="D195" s="210">
        <v>0</v>
      </c>
      <c r="E195" s="255">
        <v>60</v>
      </c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97</v>
      </c>
      <c r="D202" s="210"/>
      <c r="E202" s="255">
        <v>97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1</v>
      </c>
      <c r="D203" s="210"/>
      <c r="E203" s="255">
        <v>1</v>
      </c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135</v>
      </c>
      <c r="D204" s="210"/>
      <c r="E204" s="255">
        <v>135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5</v>
      </c>
      <c r="D205" s="211"/>
      <c r="E205" s="255">
        <v>5</v>
      </c>
      <c r="F205" s="258"/>
    </row>
    <row r="206" spans="1:6" ht="15" customHeight="1">
      <c r="A206" s="345" t="s">
        <v>67</v>
      </c>
      <c r="B206" s="346"/>
      <c r="C206" s="72">
        <f>SUM(C189:C205)</f>
        <v>368</v>
      </c>
      <c r="D206" s="212">
        <f t="shared" ref="D206:F206" si="24">SUM(D189:D205)</f>
        <v>0</v>
      </c>
      <c r="E206" s="256">
        <f t="shared" si="24"/>
        <v>368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defaultColWidth="11.42578125" defaultRowHeight="12.75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SEPTIEMBRE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2025-10-03T18:17:14Z</dcterms:modified>
  <cp:category/>
  <cp:contentStatus/>
</cp:coreProperties>
</file>