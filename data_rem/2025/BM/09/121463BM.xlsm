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3A2E2592-528B-48A6-845A-29E18BB6B74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630" yWindow="630" windowWidth="21130" windowHeight="1319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<sst xmlns="http://schemas.openxmlformats.org/spreadsheetml/2006/main" count="452" uniqueCount="397">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</sst>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6" sqref="I16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9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CONOCO  ( 121463 )</v>
      </c>
    </row>
    <row r="4" spans="1:6">
      <c r="A4" s="50" t="str">
        <f>CONCATENATE("MES: ",NOMBRE!B6,"  ","( ",NOMBRE!C6,NOMBRE!D6," )")</f>
        <v>MES: SEPTIEMBRE  ( 09 )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22</v>
      </c>
      <c r="C46" s="83">
        <f>BM18A!D148</f>
        <v>0</v>
      </c>
      <c r="D46" s="83">
        <f>BM18A!E148</f>
        <v>22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0</v>
      </c>
      <c r="C50" s="79">
        <f>BM18A!D177</f>
        <v>0</v>
      </c>
      <c r="D50" s="79">
        <f>BM18A!E177</f>
        <v>0</v>
      </c>
    </row>
    <row r="51" spans="1:4" ht="16.5" customHeight="1">
      <c r="A51" s="223" t="s">
        <v>110</v>
      </c>
      <c r="B51" s="90">
        <f t="shared" si="4"/>
        <v>79</v>
      </c>
      <c r="C51" s="81">
        <f>BM18A!D206</f>
        <v>0</v>
      </c>
      <c r="D51" s="81">
        <f>BM18A!E206</f>
        <v>79</v>
      </c>
    </row>
    <row r="52" spans="1:4" ht="17.25" customHeight="1">
      <c r="A52" s="91" t="s">
        <v>67</v>
      </c>
      <c r="B52" s="77">
        <f>SUM(B42:B51)</f>
        <v>101</v>
      </c>
      <c r="C52" s="77">
        <f>SUM(C42:C51)</f>
        <v>0</v>
      </c>
      <c r="D52" s="77">
        <f>SUM(D42:D51)</f>
        <v>101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204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67" zoomScaleNormal="100" workbookViewId="0">
      <selection activeCell="E167" sqref="E167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CONOCO  ( 121463 )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6</v>
      </c>
      <c r="D143" s="194"/>
      <c r="E143" s="247">
        <v>6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16</v>
      </c>
      <c r="D145" s="196"/>
      <c r="E145" s="261">
        <v>16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22</v>
      </c>
      <c r="D148" s="159">
        <f t="shared" ref="D148" si="16">SUM(D143:D147)</f>
        <v>0</v>
      </c>
      <c r="E148" s="263">
        <f>SUM(E143:E147)</f>
        <v>22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0</v>
      </c>
      <c r="D177" s="155">
        <f t="shared" ref="D177:E177" si="20">SUM(D172:D176)</f>
        <v>0</v>
      </c>
      <c r="E177" s="271">
        <f t="shared" si="20"/>
        <v>0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19</v>
      </c>
      <c r="D189" s="225"/>
      <c r="E189" s="266">
        <v>19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18</v>
      </c>
      <c r="D191" s="210"/>
      <c r="E191" s="255">
        <v>18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20</v>
      </c>
      <c r="D202" s="210"/>
      <c r="E202" s="255">
        <v>20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21</v>
      </c>
      <c r="D204" s="210"/>
      <c r="E204" s="255">
        <v>21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1</v>
      </c>
      <c r="D205" s="211"/>
      <c r="E205" s="255">
        <v>1</v>
      </c>
      <c r="F205" s="258"/>
    </row>
    <row r="206" spans="1:6" ht="15" customHeight="1">
      <c r="A206" s="334" t="s">
        <v>67</v>
      </c>
      <c r="B206" s="336"/>
      <c r="C206" s="72">
        <f>SUM(C189:C205)</f>
        <v>79</v>
      </c>
      <c r="D206" s="212">
        <f t="shared" ref="D206:F206" si="24">SUM(D189:D205)</f>
        <v>0</v>
      </c>
      <c r="E206" s="256">
        <f t="shared" si="24"/>
        <v>79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CONOCO - 121463 
   / MES:  SEPTIEMBRE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2025-10-06T19:43:59Z</dcterms:modified>
  <cp:category/>
  <cp:contentStatus/>
</cp:coreProperties>
</file>