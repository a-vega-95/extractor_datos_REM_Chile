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RESPALDO\0.1 REM Serie A y P Estadistica 2025\REM Serie A 2025\9 - Septiembre 2025\CECOSF EL SALAR\"/>
    </mc:Choice>
  </mc:AlternateContent>
  <xr:revisionPtr revIDLastSave="0" documentId="8_{CD0B2CC2-0493-4C40-BB57-22B8569DFC2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<sst xmlns="http://schemas.openxmlformats.org/spreadsheetml/2006/main" count="452" uniqueCount="397">
  <si>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</si>
  <si>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</si>
  <si>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</si>
  <si>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</si>
  <si>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</si>
  <si>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</si>
  <si>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</si>
  <si>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</si>
  <si>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</si>
  <si>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</si>
  <si>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</si>
  <si>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</si>
  <si>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JAVIERA AGUIRRE HUECHUCURA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</si>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</sst>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E13" sqref="E13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8" zoomScale="77" zoomScaleNormal="77" workbookViewId="0">
      <selection activeCell="C60" sqref="C60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>
      <c r="A4" s="50" t="str">
        <f>CONCATENATE("MES: ",NOMBRE!B6,"  ","( ",NOMBRE!C6,NOMBRE!D6," )")</f>
        <v>MES: SEPTIEMBRE  ( 09 )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8</v>
      </c>
      <c r="C50" s="79">
        <f>BM18A!D177</f>
        <v>0</v>
      </c>
      <c r="D50" s="79">
        <f>BM18A!E177</f>
        <v>8</v>
      </c>
    </row>
    <row r="51" spans="1:4" ht="16.5" customHeight="1">
      <c r="A51" s="223" t="s">
        <v>110</v>
      </c>
      <c r="B51" s="90">
        <f t="shared" si="4"/>
        <v>247</v>
      </c>
      <c r="C51" s="81">
        <f>BM18A!D206</f>
        <v>0</v>
      </c>
      <c r="D51" s="81">
        <f>BM18A!E206</f>
        <v>247</v>
      </c>
    </row>
    <row r="52" spans="1:4" ht="17.25" customHeight="1">
      <c r="A52" s="91" t="s">
        <v>67</v>
      </c>
      <c r="B52" s="77">
        <f>SUM(B42:B51)</f>
        <v>255</v>
      </c>
      <c r="C52" s="77">
        <f>SUM(C42:C51)</f>
        <v>0</v>
      </c>
      <c r="D52" s="77">
        <f>SUM(D42:D51)</f>
        <v>255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0</v>
      </c>
      <c r="D60" s="84">
        <v>0</v>
      </c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510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zoomScale="80" zoomScaleNormal="80" workbookViewId="0">
      <selection activeCell="E31" sqref="E31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>
        <v>0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0</v>
      </c>
      <c r="D143" s="194"/>
      <c r="E143" s="247">
        <v>0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>
        <v>0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>
      <c r="A148" s="345" t="s">
        <v>67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>
        <v>0</v>
      </c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>
        <v>0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4</v>
      </c>
      <c r="D172" s="242"/>
      <c r="E172" s="113">
        <v>4</v>
      </c>
      <c r="F172" s="264"/>
    </row>
    <row r="173" spans="1:6" ht="15" customHeight="1">
      <c r="A173" s="60"/>
      <c r="B173" s="121" t="s">
        <v>344</v>
      </c>
      <c r="C173" s="188">
        <f>SUM(D173:E173)</f>
        <v>3</v>
      </c>
      <c r="D173" s="65"/>
      <c r="E173" s="114">
        <v>3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1</v>
      </c>
      <c r="D174" s="65"/>
      <c r="E174" s="114">
        <v>1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>
      <c r="A177" s="345" t="s">
        <v>67</v>
      </c>
      <c r="B177" s="346"/>
      <c r="C177" s="155">
        <f>SUM(C172:C176)</f>
        <v>8</v>
      </c>
      <c r="D177" s="155">
        <f t="shared" ref="D177:E177" si="20">SUM(D172:D176)</f>
        <v>0</v>
      </c>
      <c r="E177" s="271">
        <f t="shared" si="20"/>
        <v>8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19</v>
      </c>
      <c r="D191" s="210"/>
      <c r="E191" s="255">
        <v>19</v>
      </c>
      <c r="F191" s="246"/>
    </row>
    <row r="192" spans="1:6" ht="15" customHeight="1">
      <c r="A192" s="62"/>
      <c r="B192" s="129" t="s">
        <v>359</v>
      </c>
      <c r="C192" s="188">
        <f t="shared" si="22"/>
        <v>26</v>
      </c>
      <c r="D192" s="210"/>
      <c r="E192" s="255">
        <v>26</v>
      </c>
      <c r="F192" s="246"/>
    </row>
    <row r="193" spans="1:6" ht="15" customHeight="1">
      <c r="A193" s="62"/>
      <c r="B193" s="129" t="s">
        <v>360</v>
      </c>
      <c r="C193" s="188">
        <f t="shared" si="22"/>
        <v>8</v>
      </c>
      <c r="D193" s="210"/>
      <c r="E193" s="255">
        <v>8</v>
      </c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>
        <v>0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51</v>
      </c>
      <c r="D195" s="210"/>
      <c r="E195" s="255">
        <v>51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33</v>
      </c>
      <c r="D202" s="210"/>
      <c r="E202" s="255">
        <v>33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>
        <v>0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108</v>
      </c>
      <c r="D204" s="210"/>
      <c r="E204" s="255">
        <v>108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2</v>
      </c>
      <c r="D205" s="211"/>
      <c r="E205" s="255">
        <v>2</v>
      </c>
      <c r="F205" s="258"/>
    </row>
    <row r="206" spans="1:6" ht="15" customHeight="1">
      <c r="A206" s="345" t="s">
        <v>67</v>
      </c>
      <c r="B206" s="346"/>
      <c r="C206" s="72">
        <f>SUM(C189:C205)</f>
        <v>247</v>
      </c>
      <c r="D206" s="212">
        <f t="shared" ref="D206:F206" si="24">SUM(D189:D205)</f>
        <v>0</v>
      </c>
      <c r="E206" s="256">
        <f t="shared" si="24"/>
        <v>247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SEPTIEMBRE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2025-10-06T15:10:07Z</dcterms:modified>
  <cp:category/>
  <cp:contentStatus/>
</cp:coreProperties>
</file>