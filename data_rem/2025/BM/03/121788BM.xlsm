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MARZO\"/>
    </mc:Choice>
  </mc:AlternateContent>
  <xr:revisionPtr revIDLastSave="0" documentId="13_ncr:1_{90B20642-3370-469B-BAA9-352CCFEFB60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<sst xmlns="http://schemas.openxmlformats.org/spreadsheetml/2006/main" count="452" uniqueCount="397">
  <si>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</si>
  <si>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</si>
  <si>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</si>
  <si>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</si>
  <si>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</si>
  <si>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</si>
  <si>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</si>
  <si>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</si>
  <si>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</si>
  <si>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</si>
  <si>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</si>
  <si>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</si>
  <si>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</si>
  <si>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</si>
  <si>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</si>
  <si>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</si>
  <si>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</si>
  <si>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</si>
  <si>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</si>
  <si>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</si>
  <si>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</si>
  <si>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</si>
  <si>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</si>
  <si>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</si>
  <si>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</si>
  <si>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</si>
  <si>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</si>
  <si>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</si>
  <si>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</si>
  <si>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</si>
  <si>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</si>
  <si>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</si>
  <si>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</si>
  <si>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</si>
  <si>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</si>
  <si>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</si>
  <si>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</si>
  <si>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</si>
  <si>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</si>
  <si>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</si>
  <si>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</si>
  <si>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</si>
  <si>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</si>
  <si>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</si>
  <si>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</si>
  <si>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</si>
  <si>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</si>
  <si>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</si>
  <si>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</si>
  <si>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</si>
  <si>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</si>
  <si>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</si>
  <si>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</si>
  <si>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</si>
  <si>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</si>
  <si>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</si>
  <si>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</si>
  <si>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</si>
  <si>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</si>
  <si>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</si>
  <si>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</si>
  <si>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</si>
  <si>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</si>
  <si>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</si>
  <si>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</si>
  <si>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</si>
  <si>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</si>
  <si>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</si>
  <si>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</si>
  <si>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</si>
  <si>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</si>
  <si>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</si>
  <si>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</si>
  <si>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</si>
  <si>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</si>
  <si>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</si>
  <si>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</si>
  <si>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</si>
  <si>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</si>
  <si>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</si>
  <si>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</si>
  <si>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</si>
  <si>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</si>
  <si>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</si>
  <si>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</si>
  <si>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</si>
  <si>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</si>
  <si>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</si>
  <si>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</si>
  <si>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</si>
  <si>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</si>
  <si>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</si>
  <si>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</si>
  <si>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</si>
  <si>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</si>
  <si>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</si>
  <si>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</si>
  <si>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</si>
  <si>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</si>
  <si>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</si>
  <si>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</si>
  <si>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</si>
  <si>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</si>
  <si>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</si>
  <si>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</si>
  <si>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</si>
  <si>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</si>
  <si>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</si>
  <si>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</si>
  <si>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</si>
  <si>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</si>
  <si>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</si>
  <si>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</si>
  <si>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</si>
  <si>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</si>
  <si>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</si>
  <si>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</si>
  <si>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</si>
  <si>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</si>
  <si>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</si>
  <si>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</si>
  <si>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</si>
  <si>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</si>
  <si>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</si>
  <si>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</si>
  <si>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</si>
  <si>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</si>
  <si>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</si>
  <si>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</si>
  <si>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</si>
  <si>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</si>
  <si>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</si>
  <si>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</si>
  <si>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</si>
  <si>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</si>
  <si>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</si>
  <si>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</si>
  <si>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</si>
  <si>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</si>
  <si>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</si>
  <si>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</si>
  <si>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</si>
  <si>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</si>
  <si>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</si>
  <si>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</si>
  <si>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</si>
  <si>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</si>
  <si>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</si>
  <si>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</si>
  <si>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</si>
  <si>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</si>
  <si>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</si>
  <si>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</si>
  <si>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</si>
  <si>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</si>
  <si>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</si>
  <si>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</si>
  <si>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</si>
  <si>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</si>
  <si>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</si>
  <si>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</si>
  <si>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</si>
  <si>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</si>
  <si>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</si>
  <si>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</si>
  <si>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</si>
  <si>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</si>
  <si>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</si>
  <si>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</si>
  <si>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</si>
  <si>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</si>
  <si>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</si>
  <si>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</si>
  <si>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</si>
  <si>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</si>
  <si>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</si>
  <si>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</si>
  <si>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</si>
  <si>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</si>
  <si>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</si>
  <si>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</si>
  <si>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</si>
  <si>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</si>
  <si>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</si>
  <si>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</si>
  <si>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</si>
  <si>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</si>
  <si>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</si>
  <si>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</si>
  <si>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</si>
  <si>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</si>
  <si>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</si>
  <si>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</si>
  <si>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</si>
  <si>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</si>
  <si>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</si>
  <si>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</si>
  <si>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</si>
  <si>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</si>
  <si>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</si>
  <si>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</si>
  <si>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</si>
  <si>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</si>
  <si>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</si>
  <si>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</si>
  <si>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</si>
  <si>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</si>
  <si>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</si>
  <si>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</si>
  <si>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</si>
  <si>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</si>
  <si>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</si>
  <si>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</si>
  <si>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</si>
  <si>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</si>
  <si>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</si>
  <si>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</si>
  <si>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</si>
  <si>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</si>
  <si>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</si>
  <si>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</si>
  <si>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</si>
  <si>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</si>
  <si>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</si>
  <si>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</si>
  <si>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</si>
  <si>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</si>
  <si>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</si>
  <si>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</si>
  <si>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</si>
  <si>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</si>
  <si>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</si>
  <si>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</si>
  <si>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</si>
  <si>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</si>
  <si>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</si>
  <si>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</si>
  <si>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</si>
  <si>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</si>
  <si>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</si>
  <si>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</si>
  <si>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</si>
  <si>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</si>
  <si>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</si>
  <si>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</si>
  <si>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</si>
  <si>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</si>
  <si>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</si>
  <si>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</si>
  <si>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</si>
  <si>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</si>
  <si>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</si>
  <si>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</si>
  <si>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</si>
  <si>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</si>
  <si>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</si>
  <si>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</si>
  <si>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</si>
  <si>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</si>
  <si>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</si>
  <si>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</si>
  <si>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</si>
  <si>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</si>
  <si>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</si>
  <si>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</si>
  <si>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</si>
  <si>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</si>
  <si>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</si>
  <si>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</si>
  <si>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</si>
  <si>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</si>
  <si>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</si>
  <si>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</si>
  <si>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</si>
  <si>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</si>
  <si>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</si>
  <si>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</si>
  <si>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</si>
  <si>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</si>
  <si>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</si>
  <si>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</si>
  <si>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</si>
  <si>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</si>
  <si>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</si>
  <si>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</si>
  <si>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</si>
  <si>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</si>
  <si>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</si>
  <si>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</si>
  <si>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</si>
  <si>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</si>
  <si>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</si>
  <si>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</si>
  <si>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</si>
  <si>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</si>
  <si>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</si>
  <si>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</si>
  <si>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</si>
  <si>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</si>
  <si>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</si>
  <si>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</si>
  <si>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</si>
  <si>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</si>
  <si>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</si>
  <si>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</si>
  <si>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</si>
  <si>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</si>
  <si>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</si>
  <si>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</si>
  <si>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</si>
  <si>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</si>
  <si>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</si>
  <si>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</si>
  <si>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</si>
  <si>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</si>
  <si>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</si>
  <si>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</si>
  <si>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</si>
  <si>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</si>
  <si>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</si>
  <si>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</si>
  <si>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</si>
  <si>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</si>
  <si>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</si>
  <si>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</si>
  <si>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</si>
  <si>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</si>
  <si>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</si>
  <si>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</si>
  <si>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</si>
  <si>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</si>
  <si>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</si>
  <si>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</si>
  <si>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</si>
  <si>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</si>
  <si>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</si>
  <si>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</si>
  <si>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</si>
  <si>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</si>
  <si>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</si>
  <si>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</si>
  <si>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</si>
  <si>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</si>
  <si>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</si>
  <si>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</si>
  <si>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</si>
  <si>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</si>
  <si>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</si>
  <si>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</si>
  <si>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</si>
  <si>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</si>
  <si>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</si>
  <si>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</si>
  <si>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</si>
  <si>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</si>
  <si>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</si>
  <si>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</si>
  <si>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</si>
  <si>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</si>
  <si>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</si>
  <si>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</si>
  <si>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</si>
  <si>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</si>
  <si>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</si>
  <si>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</si>
  <si>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</si>
  <si>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</si>
  <si>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</si>
  <si>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</si>
  <si>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</si>
  <si>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</si>
  <si>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</si>
  <si>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</si>
  <si>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</si>
  <si>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</si>
  <si>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</si>
  <si>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</si>
  <si>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</si>
  <si>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</si>
  <si>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</si>
  <si>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</si>
  <si>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</si>
  <si>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</si>
  <si>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</si>
  <si>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</si>
  <si>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</si>
  <si>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</si>
  <si>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</si>
  <si>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</si>
  <si>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</si>
  <si>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</si>
  <si>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</si>
  <si>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</si>
  <si>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</si>
  <si>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</si>
  <si>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SRA. MARCELA SOTO ARIAS</t>
  </si>
  <si>
    <t>CENTRO COMUNITARIO DE SALUD FAMILIAR LAS QUILAS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</si>
</sst>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L13" sqref="L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8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11</v>
      </c>
      <c r="AB11" s="35" t="s">
        <v>12</v>
      </c>
      <c r="AC11" s="108" t="s">
        <v>13</v>
      </c>
    </row>
    <row r="12" spans="1:33" ht="21" customHeight="1" x14ac:dyDescent="0.2">
      <c r="A12" s="152" t="s">
        <v>14</v>
      </c>
      <c r="B12" s="7" t="s">
        <v>15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16</v>
      </c>
      <c r="AB12" s="35" t="s">
        <v>17</v>
      </c>
      <c r="AC12" s="108" t="s">
        <v>18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6</v>
      </c>
      <c r="AB13" s="35" t="s">
        <v>19</v>
      </c>
      <c r="AC13" s="108" t="s">
        <v>20</v>
      </c>
    </row>
    <row r="14" spans="1:33" ht="21" customHeight="1" x14ac:dyDescent="0.15">
      <c r="A14" s="280" t="s">
        <v>21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22</v>
      </c>
      <c r="AB14" s="35" t="s">
        <v>23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24</v>
      </c>
      <c r="AB15" s="35" t="s">
        <v>25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26</v>
      </c>
      <c r="AB16" s="35" t="s">
        <v>27</v>
      </c>
      <c r="AC16" s="109"/>
    </row>
    <row r="17" spans="2:29" ht="21" customHeight="1" x14ac:dyDescent="0.15">
      <c r="B17" s="282" t="s">
        <v>28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29</v>
      </c>
      <c r="AB17" s="35" t="s">
        <v>30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31</v>
      </c>
      <c r="AB18" s="35" t="s">
        <v>32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33</v>
      </c>
      <c r="AB19" s="35" t="s">
        <v>34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35</v>
      </c>
      <c r="AB20" s="35" t="s">
        <v>36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37</v>
      </c>
      <c r="AB21" s="35" t="s">
        <v>38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39</v>
      </c>
      <c r="AB22" s="35" t="s">
        <v>40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41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42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43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44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45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46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47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48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49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50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51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52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53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54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55</v>
      </c>
      <c r="AC37" s="108"/>
    </row>
    <row r="38" spans="14:29" ht="12" customHeight="1" x14ac:dyDescent="0.15">
      <c r="AA38" s="112"/>
      <c r="AB38" s="35" t="s">
        <v>56</v>
      </c>
      <c r="AC38" s="108"/>
    </row>
    <row r="39" spans="14:29" ht="12" customHeight="1" x14ac:dyDescent="0.15">
      <c r="AA39" s="112"/>
      <c r="AB39" s="35" t="s">
        <v>57</v>
      </c>
      <c r="AC39" s="112"/>
    </row>
    <row r="40" spans="14:29" ht="12" customHeight="1" x14ac:dyDescent="0.15">
      <c r="AA40" s="112"/>
      <c r="AB40" s="35" t="s">
        <v>58</v>
      </c>
      <c r="AC40" s="112"/>
    </row>
    <row r="41" spans="14:29" ht="12" customHeight="1" x14ac:dyDescent="0.15">
      <c r="AA41" s="112"/>
      <c r="AB41" s="35" t="s">
        <v>59</v>
      </c>
      <c r="AC41" s="112"/>
    </row>
    <row r="42" spans="14:29" ht="12" customHeight="1" x14ac:dyDescent="0.15">
      <c r="AA42" s="112"/>
      <c r="AB42" s="35" t="s">
        <v>60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8" zoomScaleNormal="100" workbookViewId="0">
      <selection activeCell="G60" sqref="G60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61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</row>
    <row r="4" spans="1:6" x14ac:dyDescent="0.2">
      <c r="A4" s="50" t="str">
        <f>CONCATENATE("MES: ",NOMBRE!B6,"  ","( ",NOMBRE!C6,NOMBRE!D6," )")</f>
        <v>MES: MARZO  ( 03 )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62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63</v>
      </c>
      <c r="B10" s="300"/>
      <c r="C10" s="300"/>
    </row>
    <row r="11" spans="1:6" ht="12.75" customHeight="1" x14ac:dyDescent="0.2">
      <c r="A11" s="303" t="s">
        <v>64</v>
      </c>
      <c r="B11" s="304"/>
      <c r="C11" s="305"/>
      <c r="D11" s="293" t="s">
        <v>65</v>
      </c>
      <c r="E11" s="293" t="s">
        <v>66</v>
      </c>
      <c r="F11" s="296" t="s">
        <v>67</v>
      </c>
    </row>
    <row r="12" spans="1:6" ht="21.75" customHeight="1" x14ac:dyDescent="0.2">
      <c r="A12" s="306"/>
      <c r="B12" s="307"/>
      <c r="C12" s="308"/>
      <c r="D12" s="295"/>
      <c r="E12" s="295" t="s">
        <v>68</v>
      </c>
      <c r="F12" s="297" t="s">
        <v>68</v>
      </c>
    </row>
    <row r="13" spans="1:6" ht="20.25" customHeight="1" x14ac:dyDescent="0.2">
      <c r="A13" s="43" t="s">
        <v>69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70</v>
      </c>
      <c r="B14" s="311" t="s">
        <v>71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72</v>
      </c>
      <c r="B15" s="301" t="s">
        <v>73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74</v>
      </c>
      <c r="B16" s="301" t="s">
        <v>75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76</v>
      </c>
      <c r="B17" s="301" t="s">
        <v>77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78</v>
      </c>
      <c r="B18" s="301" t="s">
        <v>79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80</v>
      </c>
      <c r="B19" s="313" t="s">
        <v>81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82</v>
      </c>
      <c r="B20" s="317" t="s">
        <v>83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84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85</v>
      </c>
      <c r="B22" s="319" t="s">
        <v>86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87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88</v>
      </c>
      <c r="C24" s="180" t="s">
        <v>89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90</v>
      </c>
      <c r="D25" s="80">
        <f>SUM(F25)</f>
        <v>0</v>
      </c>
      <c r="E25" s="100"/>
      <c r="F25" s="93"/>
    </row>
    <row r="26" spans="1:6" ht="17.25" customHeight="1" x14ac:dyDescent="0.2">
      <c r="A26" s="294"/>
      <c r="B26" s="309" t="s">
        <v>91</v>
      </c>
      <c r="C26" s="133" t="s">
        <v>89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90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92</v>
      </c>
      <c r="C28" s="133" t="s">
        <v>89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90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93</v>
      </c>
      <c r="C30" s="133" t="s">
        <v>89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90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94</v>
      </c>
      <c r="C32" s="133" t="s">
        <v>89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90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95</v>
      </c>
      <c r="C34" s="133" t="s">
        <v>89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90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96</v>
      </c>
      <c r="C36" s="133" t="s">
        <v>89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90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97</v>
      </c>
      <c r="B39" s="11"/>
    </row>
    <row r="40" spans="1:6" ht="12.75" customHeight="1" x14ac:dyDescent="0.2">
      <c r="A40" s="296" t="s">
        <v>98</v>
      </c>
      <c r="B40" s="296" t="s">
        <v>65</v>
      </c>
      <c r="C40" s="293" t="s">
        <v>66</v>
      </c>
      <c r="D40" s="296" t="s">
        <v>67</v>
      </c>
    </row>
    <row r="41" spans="1:6" ht="25.5" customHeight="1" x14ac:dyDescent="0.2">
      <c r="A41" s="297"/>
      <c r="B41" s="324"/>
      <c r="C41" s="295" t="s">
        <v>68</v>
      </c>
      <c r="D41" s="297" t="s">
        <v>68</v>
      </c>
    </row>
    <row r="42" spans="1:6" ht="16.5" customHeight="1" x14ac:dyDescent="0.2">
      <c r="A42" s="90" t="s">
        <v>99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100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101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102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103</v>
      </c>
      <c r="B46" s="79">
        <f t="shared" si="4"/>
        <v>39</v>
      </c>
      <c r="C46" s="83">
        <f>BM18A!D148</f>
        <v>0</v>
      </c>
      <c r="D46" s="83">
        <f>BM18A!E148</f>
        <v>39</v>
      </c>
    </row>
    <row r="47" spans="1:6" ht="16.5" customHeight="1" x14ac:dyDescent="0.2">
      <c r="A47" s="90" t="s">
        <v>104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105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106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107</v>
      </c>
      <c r="B50" s="90">
        <f t="shared" si="4"/>
        <v>22</v>
      </c>
      <c r="C50" s="79">
        <f>BM18A!D177</f>
        <v>0</v>
      </c>
      <c r="D50" s="79">
        <f>BM18A!E177</f>
        <v>22</v>
      </c>
    </row>
    <row r="51" spans="1:4" ht="16.5" customHeight="1" x14ac:dyDescent="0.2">
      <c r="A51" s="223" t="s">
        <v>108</v>
      </c>
      <c r="B51" s="90">
        <f t="shared" si="4"/>
        <v>13</v>
      </c>
      <c r="C51" s="81">
        <f>BM18A!D206</f>
        <v>0</v>
      </c>
      <c r="D51" s="81">
        <f>BM18A!E206</f>
        <v>13</v>
      </c>
    </row>
    <row r="52" spans="1:4" ht="17.25" customHeight="1" x14ac:dyDescent="0.2">
      <c r="A52" s="91" t="s">
        <v>65</v>
      </c>
      <c r="B52" s="77">
        <f>SUM(B42:B51)</f>
        <v>74</v>
      </c>
      <c r="C52" s="77">
        <f>SUM(C42:C51)</f>
        <v>0</v>
      </c>
      <c r="D52" s="77">
        <f>SUM(D42:D51)</f>
        <v>74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109</v>
      </c>
    </row>
    <row r="55" spans="1:4" x14ac:dyDescent="0.2">
      <c r="A55" s="332" t="s">
        <v>110</v>
      </c>
      <c r="B55" s="330" t="s">
        <v>65</v>
      </c>
    </row>
    <row r="56" spans="1:4" x14ac:dyDescent="0.2">
      <c r="A56" s="333"/>
      <c r="B56" s="331"/>
    </row>
    <row r="57" spans="1:4" ht="17.25" customHeight="1" x14ac:dyDescent="0.2">
      <c r="A57" s="116" t="s">
        <v>111</v>
      </c>
      <c r="B57" s="207"/>
    </row>
    <row r="58" spans="1:4" ht="27.75" customHeight="1" x14ac:dyDescent="0.2">
      <c r="A58" s="36" t="s">
        <v>112</v>
      </c>
      <c r="D58" s="52"/>
    </row>
    <row r="59" spans="1:4" ht="32.25" customHeight="1" x14ac:dyDescent="0.2">
      <c r="A59" s="328" t="s">
        <v>113</v>
      </c>
      <c r="B59" s="329"/>
      <c r="C59" s="103" t="s">
        <v>114</v>
      </c>
      <c r="D59" s="104" t="s">
        <v>115</v>
      </c>
    </row>
    <row r="60" spans="1:4" ht="16.5" customHeight="1" x14ac:dyDescent="0.2">
      <c r="A60" s="325" t="s">
        <v>116</v>
      </c>
      <c r="B60" s="208" t="s">
        <v>117</v>
      </c>
      <c r="C60" s="87">
        <v>225</v>
      </c>
      <c r="D60" s="84"/>
    </row>
    <row r="61" spans="1:4" ht="16.5" customHeight="1" x14ac:dyDescent="0.2">
      <c r="A61" s="326"/>
      <c r="B61" s="12" t="s">
        <v>118</v>
      </c>
      <c r="C61" s="88"/>
      <c r="D61" s="85"/>
    </row>
    <row r="62" spans="1:4" ht="16.5" customHeight="1" x14ac:dyDescent="0.2">
      <c r="A62" s="327"/>
      <c r="B62" s="13" t="s">
        <v>119</v>
      </c>
      <c r="C62" s="89"/>
      <c r="D62" s="86"/>
    </row>
    <row r="96" spans="1:1" hidden="1" x14ac:dyDescent="0.2">
      <c r="A96" s="215">
        <f>SUM(D13:D37,B42:B52,B57,C60:C62)</f>
        <v>373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4" zoomScaleNormal="100" workbookViewId="0">
      <selection activeCell="L188" sqref="L188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61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LAS QUILAS  ( 121788 )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120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63</v>
      </c>
      <c r="B9" s="120"/>
      <c r="U9" s="54"/>
    </row>
    <row r="10" spans="1:21" ht="14.1" customHeight="1" x14ac:dyDescent="0.2">
      <c r="A10" s="368" t="s">
        <v>1</v>
      </c>
      <c r="B10" s="351" t="s">
        <v>64</v>
      </c>
      <c r="C10" s="341" t="s">
        <v>65</v>
      </c>
      <c r="D10" s="351" t="s">
        <v>66</v>
      </c>
      <c r="E10" s="357" t="s">
        <v>67</v>
      </c>
      <c r="F10" s="351" t="s">
        <v>121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122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123</v>
      </c>
      <c r="B13" s="121" t="s">
        <v>124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125</v>
      </c>
      <c r="B14" s="121" t="s">
        <v>126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127</v>
      </c>
      <c r="B15" s="121" t="s">
        <v>128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129</v>
      </c>
      <c r="B16" s="121" t="s">
        <v>130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131</v>
      </c>
      <c r="B17" s="121" t="s">
        <v>132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133</v>
      </c>
      <c r="B18" s="121" t="s">
        <v>134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135</v>
      </c>
      <c r="B19" s="121" t="s">
        <v>136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65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137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138</v>
      </c>
      <c r="B23" s="121" t="s">
        <v>139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140</v>
      </c>
      <c r="B24" s="121" t="s">
        <v>141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142</v>
      </c>
      <c r="B25" s="121" t="s">
        <v>143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144</v>
      </c>
      <c r="B26" s="121" t="s">
        <v>145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146</v>
      </c>
      <c r="B27" s="121" t="s">
        <v>147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148</v>
      </c>
      <c r="B28" s="121" t="s">
        <v>149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150</v>
      </c>
      <c r="B29" s="121" t="s">
        <v>151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152</v>
      </c>
      <c r="B30" s="121" t="s">
        <v>153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154</v>
      </c>
      <c r="B31" s="121" t="s">
        <v>155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156</v>
      </c>
      <c r="B32" s="121" t="s">
        <v>157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158</v>
      </c>
      <c r="B33" s="121" t="s">
        <v>159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160</v>
      </c>
      <c r="B34" s="121" t="s">
        <v>161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162</v>
      </c>
      <c r="B35" s="121" t="s">
        <v>163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164</v>
      </c>
      <c r="B36" s="121" t="s">
        <v>165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166</v>
      </c>
      <c r="B37" s="121" t="s">
        <v>167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168</v>
      </c>
      <c r="B38" s="121" t="s">
        <v>169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170</v>
      </c>
      <c r="B39" s="121" t="s">
        <v>171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172</v>
      </c>
      <c r="B40" s="121" t="s">
        <v>173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174</v>
      </c>
      <c r="B41" s="121" t="s">
        <v>175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176</v>
      </c>
      <c r="B42" s="121" t="s">
        <v>177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65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178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179</v>
      </c>
      <c r="B46" s="198" t="s">
        <v>180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181</v>
      </c>
      <c r="B47" s="121" t="s">
        <v>182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183</v>
      </c>
      <c r="B48" s="121" t="s">
        <v>184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65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77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185</v>
      </c>
      <c r="B52" s="198" t="s">
        <v>186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187</v>
      </c>
      <c r="B53" s="121" t="s">
        <v>188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65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79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189</v>
      </c>
      <c r="B57" s="121" t="s">
        <v>190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191</v>
      </c>
      <c r="B58" s="121" t="s">
        <v>192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193</v>
      </c>
      <c r="B59" s="121" t="s">
        <v>194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195</v>
      </c>
      <c r="B60" s="121" t="s">
        <v>196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197</v>
      </c>
      <c r="B61" s="121" t="s">
        <v>198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199</v>
      </c>
      <c r="B62" s="121" t="s">
        <v>200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201</v>
      </c>
      <c r="B63" s="121" t="s">
        <v>202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203</v>
      </c>
      <c r="B64" s="121" t="s">
        <v>204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205</v>
      </c>
      <c r="B65" s="121" t="s">
        <v>206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207</v>
      </c>
      <c r="B66" s="121" t="s">
        <v>208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209</v>
      </c>
      <c r="B67" s="121" t="s">
        <v>210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211</v>
      </c>
      <c r="B68" s="121" t="s">
        <v>212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213</v>
      </c>
      <c r="B69" s="121" t="s">
        <v>214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215</v>
      </c>
      <c r="B70" s="121" t="s">
        <v>216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217</v>
      </c>
      <c r="B71" s="129" t="s">
        <v>218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219</v>
      </c>
      <c r="B72" s="129" t="s">
        <v>220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65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221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222</v>
      </c>
      <c r="B76" s="121" t="s">
        <v>223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224</v>
      </c>
      <c r="B77" s="121" t="s">
        <v>225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65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226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227</v>
      </c>
      <c r="B81" s="121" t="s">
        <v>228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229</v>
      </c>
      <c r="B82" s="121" t="s">
        <v>230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231</v>
      </c>
      <c r="B83" s="121" t="s">
        <v>232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233</v>
      </c>
      <c r="B84" s="121" t="s">
        <v>234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235</v>
      </c>
      <c r="B85" s="121" t="s">
        <v>236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237</v>
      </c>
      <c r="B86" s="121" t="s">
        <v>238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239</v>
      </c>
      <c r="B87" s="121" t="s">
        <v>240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65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241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242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243</v>
      </c>
      <c r="B92" s="128" t="s">
        <v>244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245</v>
      </c>
      <c r="B93" s="121" t="s">
        <v>246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247</v>
      </c>
      <c r="B94" s="121" t="s">
        <v>248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249</v>
      </c>
      <c r="B95" s="121" t="s">
        <v>250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251</v>
      </c>
      <c r="B96" s="121" t="s">
        <v>252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253</v>
      </c>
      <c r="B97" s="121" t="s">
        <v>254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255</v>
      </c>
      <c r="B98" s="121" t="s">
        <v>256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257</v>
      </c>
      <c r="B99" s="121" t="s">
        <v>258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259</v>
      </c>
      <c r="B100" s="121" t="s">
        <v>260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261</v>
      </c>
      <c r="B101" s="121" t="s">
        <v>262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263</v>
      </c>
      <c r="B102" s="121" t="s">
        <v>264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265</v>
      </c>
      <c r="B103" s="121" t="s">
        <v>266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267</v>
      </c>
      <c r="B104" s="121" t="s">
        <v>268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269</v>
      </c>
      <c r="B105" s="121" t="s">
        <v>270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271</v>
      </c>
      <c r="B106" s="121" t="s">
        <v>272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273</v>
      </c>
      <c r="B107" s="121" t="s">
        <v>274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275</v>
      </c>
      <c r="B108" s="121" t="s">
        <v>276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277</v>
      </c>
      <c r="B109" s="121" t="s">
        <v>278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279</v>
      </c>
      <c r="B110" s="121" t="s">
        <v>280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281</v>
      </c>
      <c r="B111" s="121" t="s">
        <v>282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283</v>
      </c>
      <c r="B112" s="121" t="s">
        <v>284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285</v>
      </c>
      <c r="B113" s="121" t="s">
        <v>286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287</v>
      </c>
      <c r="B114" s="121" t="s">
        <v>288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289</v>
      </c>
      <c r="B115" s="121" t="s">
        <v>290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291</v>
      </c>
      <c r="B116" s="121" t="s">
        <v>292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293</v>
      </c>
      <c r="B117" s="121" t="s">
        <v>294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295</v>
      </c>
      <c r="B118" s="185" t="s">
        <v>296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297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98</v>
      </c>
      <c r="C121" s="351" t="s">
        <v>68</v>
      </c>
      <c r="D121" s="351" t="s">
        <v>66</v>
      </c>
      <c r="E121" s="357" t="s">
        <v>67</v>
      </c>
      <c r="F121" s="341" t="s">
        <v>121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298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299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300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301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302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65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303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304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305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306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307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308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309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310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311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312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65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313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314</v>
      </c>
      <c r="B143" s="128" t="s">
        <v>315</v>
      </c>
      <c r="C143" s="70">
        <f>SUM(D143:E143)</f>
        <v>37</v>
      </c>
      <c r="D143" s="194"/>
      <c r="E143" s="247">
        <v>37</v>
      </c>
      <c r="F143" s="257"/>
    </row>
    <row r="144" spans="1:6" ht="15" customHeight="1" x14ac:dyDescent="0.2">
      <c r="A144" s="60" t="s">
        <v>316</v>
      </c>
      <c r="B144" s="121" t="s">
        <v>317</v>
      </c>
      <c r="C144" s="190">
        <f>SUM(D144:E144)</f>
        <v>2</v>
      </c>
      <c r="D144" s="195"/>
      <c r="E144" s="260">
        <v>2</v>
      </c>
      <c r="F144" s="250"/>
    </row>
    <row r="145" spans="1:6" ht="15" customHeight="1" x14ac:dyDescent="0.2">
      <c r="A145" s="60"/>
      <c r="B145" s="129" t="s">
        <v>318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319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320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65</v>
      </c>
      <c r="B148" s="346"/>
      <c r="C148" s="159">
        <f>SUM(C143:C147)</f>
        <v>39</v>
      </c>
      <c r="D148" s="159">
        <f t="shared" ref="D148" si="16">SUM(D143:D147)</f>
        <v>0</v>
      </c>
      <c r="E148" s="263">
        <f>SUM(E143:E147)</f>
        <v>39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321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322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323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324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325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326</v>
      </c>
      <c r="B155" s="121" t="s">
        <v>327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328</v>
      </c>
      <c r="B156" s="121" t="s">
        <v>329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330</v>
      </c>
      <c r="B157" s="121" t="s">
        <v>331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65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332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333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334</v>
      </c>
      <c r="B162" s="121" t="s">
        <v>335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336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65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337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338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339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65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340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341</v>
      </c>
      <c r="C172" s="204">
        <f>SUM(D172:E172)</f>
        <v>3</v>
      </c>
      <c r="D172" s="242"/>
      <c r="E172" s="113">
        <v>3</v>
      </c>
      <c r="F172" s="264"/>
    </row>
    <row r="173" spans="1:6" ht="15" customHeight="1" x14ac:dyDescent="0.2">
      <c r="A173" s="60"/>
      <c r="B173" s="121" t="s">
        <v>342</v>
      </c>
      <c r="C173" s="188">
        <f>SUM(D173:E173)</f>
        <v>1</v>
      </c>
      <c r="D173" s="65"/>
      <c r="E173" s="114">
        <v>1</v>
      </c>
      <c r="F173" s="246"/>
    </row>
    <row r="174" spans="1:6" ht="15" customHeight="1" x14ac:dyDescent="0.2">
      <c r="A174" s="60">
        <v>2001015</v>
      </c>
      <c r="B174" s="198" t="s">
        <v>343</v>
      </c>
      <c r="C174" s="75">
        <f>SUM(D174:E174)</f>
        <v>2</v>
      </c>
      <c r="D174" s="65"/>
      <c r="E174" s="114">
        <v>2</v>
      </c>
      <c r="F174" s="246"/>
    </row>
    <row r="175" spans="1:6" ht="15" customHeight="1" x14ac:dyDescent="0.2">
      <c r="A175" s="60"/>
      <c r="B175" s="121" t="s">
        <v>344</v>
      </c>
      <c r="C175" s="75">
        <f t="shared" ref="C175:C176" si="19">SUM(D175:E175)</f>
        <v>16</v>
      </c>
      <c r="D175" s="65"/>
      <c r="E175" s="114">
        <v>16</v>
      </c>
      <c r="F175" s="246"/>
    </row>
    <row r="176" spans="1:6" ht="15" customHeight="1" x14ac:dyDescent="0.2">
      <c r="A176" s="200"/>
      <c r="B176" s="198" t="s">
        <v>345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45" t="s">
        <v>65</v>
      </c>
      <c r="B177" s="346"/>
      <c r="C177" s="155">
        <f>SUM(C172:C176)</f>
        <v>22</v>
      </c>
      <c r="D177" s="155">
        <f t="shared" ref="D177:E177" si="20">SUM(D172:D176)</f>
        <v>0</v>
      </c>
      <c r="E177" s="271">
        <f t="shared" si="20"/>
        <v>22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346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347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348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349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350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351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352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65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108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353</v>
      </c>
      <c r="C189" s="188">
        <f t="shared" ref="C189:C194" si="22">SUM(D189:E189)</f>
        <v>0</v>
      </c>
      <c r="D189" s="225"/>
      <c r="E189" s="266"/>
      <c r="F189" s="272"/>
    </row>
    <row r="190" spans="1:6" ht="15" customHeight="1" x14ac:dyDescent="0.2">
      <c r="A190" s="202"/>
      <c r="B190" s="121" t="s">
        <v>354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355</v>
      </c>
      <c r="B191" s="121" t="s">
        <v>356</v>
      </c>
      <c r="C191" s="188">
        <f t="shared" si="22"/>
        <v>0</v>
      </c>
      <c r="D191" s="210"/>
      <c r="E191" s="255"/>
      <c r="F191" s="246"/>
    </row>
    <row r="192" spans="1:6" ht="15" customHeight="1" x14ac:dyDescent="0.2">
      <c r="A192" s="62"/>
      <c r="B192" s="129" t="s">
        <v>357</v>
      </c>
      <c r="C192" s="188">
        <f t="shared" si="22"/>
        <v>7</v>
      </c>
      <c r="D192" s="210"/>
      <c r="E192" s="255">
        <v>7</v>
      </c>
      <c r="F192" s="246"/>
    </row>
    <row r="193" spans="1:6" ht="15" customHeight="1" x14ac:dyDescent="0.2">
      <c r="A193" s="62"/>
      <c r="B193" s="129" t="s">
        <v>358</v>
      </c>
      <c r="C193" s="188">
        <f t="shared" si="22"/>
        <v>6</v>
      </c>
      <c r="D193" s="210"/>
      <c r="E193" s="255">
        <v>6</v>
      </c>
      <c r="F193" s="246"/>
    </row>
    <row r="194" spans="1:6" ht="15" customHeight="1" x14ac:dyDescent="0.2">
      <c r="A194" s="203"/>
      <c r="B194" s="129" t="s">
        <v>359</v>
      </c>
      <c r="C194" s="199">
        <f t="shared" si="22"/>
        <v>0</v>
      </c>
      <c r="D194" s="226"/>
      <c r="E194" s="277"/>
      <c r="F194" s="246"/>
    </row>
    <row r="195" spans="1:6" ht="15" customHeight="1" x14ac:dyDescent="0.2">
      <c r="A195" s="62"/>
      <c r="B195" s="129" t="s">
        <v>360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 x14ac:dyDescent="0.2">
      <c r="A196" s="236" t="s">
        <v>361</v>
      </c>
      <c r="B196" s="121" t="s">
        <v>362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363</v>
      </c>
      <c r="B197" s="121" t="s">
        <v>364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365</v>
      </c>
      <c r="B198" s="121" t="s">
        <v>366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367</v>
      </c>
      <c r="B199" s="121" t="s">
        <v>368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369</v>
      </c>
      <c r="B200" s="121" t="s">
        <v>370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371</v>
      </c>
      <c r="B201" s="121" t="s">
        <v>372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373</v>
      </c>
      <c r="B202" s="121" t="s">
        <v>374</v>
      </c>
      <c r="C202" s="188">
        <f t="shared" si="23"/>
        <v>0</v>
      </c>
      <c r="D202" s="210"/>
      <c r="E202" s="255"/>
      <c r="F202" s="246"/>
    </row>
    <row r="203" spans="1:6" ht="15" customHeight="1" x14ac:dyDescent="0.2">
      <c r="A203" s="62" t="s">
        <v>375</v>
      </c>
      <c r="B203" s="121" t="s">
        <v>376</v>
      </c>
      <c r="C203" s="188">
        <f t="shared" si="23"/>
        <v>0</v>
      </c>
      <c r="D203" s="210"/>
      <c r="E203" s="255"/>
      <c r="F203" s="246"/>
    </row>
    <row r="204" spans="1:6" ht="15" customHeight="1" x14ac:dyDescent="0.2">
      <c r="A204" s="62" t="s">
        <v>377</v>
      </c>
      <c r="B204" s="121" t="s">
        <v>378</v>
      </c>
      <c r="C204" s="188">
        <f t="shared" si="23"/>
        <v>0</v>
      </c>
      <c r="D204" s="210"/>
      <c r="E204" s="255"/>
      <c r="F204" s="250"/>
    </row>
    <row r="205" spans="1:6" ht="15" customHeight="1" x14ac:dyDescent="0.2">
      <c r="A205" s="62" t="s">
        <v>379</v>
      </c>
      <c r="B205" s="185" t="s">
        <v>380</v>
      </c>
      <c r="C205" s="188">
        <f t="shared" si="23"/>
        <v>0</v>
      </c>
      <c r="D205" s="211"/>
      <c r="E205" s="255"/>
      <c r="F205" s="258"/>
    </row>
    <row r="206" spans="1:6" ht="15" customHeight="1" x14ac:dyDescent="0.2">
      <c r="A206" s="345" t="s">
        <v>65</v>
      </c>
      <c r="B206" s="346"/>
      <c r="C206" s="72">
        <f>SUM(C189:C205)</f>
        <v>13</v>
      </c>
      <c r="D206" s="212">
        <f t="shared" ref="D206:F206" si="24">SUM(D189:D205)</f>
        <v>0</v>
      </c>
      <c r="E206" s="256">
        <f t="shared" si="24"/>
        <v>13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381</v>
      </c>
      <c r="C2" s="16" t="s">
        <v>382</v>
      </c>
      <c r="D2" s="17" t="s">
        <v>383</v>
      </c>
    </row>
    <row r="3" spans="2:4" ht="19.5" customHeight="1" x14ac:dyDescent="0.2">
      <c r="B3" s="25" t="s">
        <v>384</v>
      </c>
      <c r="C3" s="24" t="s">
        <v>385</v>
      </c>
      <c r="D3" s="19">
        <f>+NOMBRE!AG2</f>
        <v>0</v>
      </c>
    </row>
    <row r="4" spans="2:4" ht="19.5" customHeight="1" x14ac:dyDescent="0.2">
      <c r="B4" s="25" t="s">
        <v>384</v>
      </c>
      <c r="C4" s="24" t="s">
        <v>386</v>
      </c>
      <c r="D4" s="19">
        <f>+NOMBRE!AG3</f>
        <v>0</v>
      </c>
    </row>
    <row r="5" spans="2:4" ht="19.5" customHeight="1" x14ac:dyDescent="0.2">
      <c r="B5" s="25" t="s">
        <v>384</v>
      </c>
      <c r="C5" s="24" t="s">
        <v>387</v>
      </c>
      <c r="D5" s="19">
        <f>+NOMBRE!AG6</f>
        <v>0</v>
      </c>
    </row>
    <row r="6" spans="2:4" ht="31.5" customHeight="1" thickBot="1" x14ac:dyDescent="0.25">
      <c r="B6" s="51" t="s">
        <v>388</v>
      </c>
      <c r="C6" s="209" t="s">
        <v>389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MARZO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393</v>
      </c>
      <c r="E5" s="147"/>
      <c r="F5" s="148"/>
      <c r="G5" s="148"/>
      <c r="H5" s="149"/>
    </row>
    <row r="6" spans="1:14" ht="27.75" customHeight="1" x14ac:dyDescent="0.2">
      <c r="B6" s="154" t="s">
        <v>394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2025-04-04T18:31:44Z</dcterms:modified>
  <cp:category/>
  <cp:contentStatus/>
</cp:coreProperties>
</file>