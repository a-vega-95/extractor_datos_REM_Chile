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MARZO\"/>
    </mc:Choice>
  </mc:AlternateContent>
  <xr:revisionPtr revIDLastSave="0" documentId="13_ncr:1_{06A7C557-764D-40FC-91B0-ABFF5205AC4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<sst xmlns="http://schemas.openxmlformats.org/spreadsheetml/2006/main" count="452" uniqueCount="397">
  <si>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</si>
  <si>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</si>
  <si>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</si>
  <si>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</si>
  <si>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</si>
  <si>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</si>
  <si>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</si>
  <si>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</si>
  <si>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</si>
  <si>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</si>
  <si>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</si>
  <si>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</si>
  <si>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</si>
  <si>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</si>
  <si>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</si>
  <si>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</si>
  <si>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</si>
  <si>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</si>
  <si>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</si>
  <si>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</si>
  <si>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</si>
  <si>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</si>
  <si>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</si>
  <si>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</si>
  <si>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</si>
  <si>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</si>
  <si>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</si>
  <si>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</si>
  <si>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</si>
  <si>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</si>
  <si>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</si>
  <si>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</si>
  <si>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</si>
  <si>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</si>
  <si>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</si>
  <si>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</si>
  <si>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</si>
  <si>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</si>
  <si>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</si>
  <si>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</si>
  <si>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</si>
  <si>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</si>
  <si>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</si>
  <si>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</si>
  <si>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</si>
  <si>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</si>
  <si>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</si>
  <si>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</si>
  <si>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</si>
  <si>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</si>
  <si>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</si>
  <si>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</si>
  <si>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</si>
  <si>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</si>
  <si>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</si>
  <si>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</si>
  <si>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</si>
  <si>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</si>
  <si>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</si>
  <si>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</si>
  <si>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</si>
  <si>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</si>
  <si>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</si>
  <si>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</si>
  <si>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</si>
  <si>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</si>
  <si>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</si>
  <si>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</si>
  <si>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</si>
  <si>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</si>
  <si>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</si>
  <si>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</si>
  <si>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</si>
  <si>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</si>
  <si>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</si>
  <si>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</si>
  <si>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</si>
  <si>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</si>
  <si>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</si>
  <si>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</si>
  <si>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</si>
  <si>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</si>
  <si>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</si>
  <si>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</si>
  <si>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</si>
  <si>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</si>
  <si>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</si>
  <si>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</si>
  <si>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</si>
  <si>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</si>
  <si>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</si>
  <si>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</si>
  <si>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</si>
  <si>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</si>
  <si>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</si>
  <si>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</si>
  <si>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</si>
  <si>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</si>
  <si>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</si>
  <si>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</si>
  <si>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</si>
  <si>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</si>
  <si>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</si>
  <si>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</si>
  <si>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</si>
  <si>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</si>
  <si>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</si>
  <si>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</si>
  <si>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</si>
  <si>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</si>
  <si>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</si>
  <si>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</si>
  <si>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</si>
  <si>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</si>
  <si>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</si>
  <si>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</si>
  <si>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</si>
  <si>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</si>
  <si>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</si>
  <si>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</si>
  <si>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</si>
  <si>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</si>
  <si>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</si>
  <si>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</si>
  <si>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</si>
  <si>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</si>
  <si>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</si>
  <si>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</si>
  <si>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</si>
  <si>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</si>
  <si>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</si>
  <si>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</si>
  <si>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</si>
  <si>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</si>
  <si>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</si>
  <si>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</si>
  <si>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</si>
  <si>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</si>
  <si>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</si>
  <si>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</si>
  <si>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</si>
  <si>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</si>
  <si>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</si>
  <si>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</si>
  <si>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</si>
  <si>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</si>
  <si>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</si>
  <si>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</si>
  <si>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</si>
  <si>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</si>
  <si>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</si>
  <si>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</si>
  <si>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</si>
  <si>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</si>
  <si>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</si>
  <si>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</si>
  <si>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</si>
  <si>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</si>
  <si>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</si>
  <si>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</si>
  <si>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</si>
  <si>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</si>
  <si>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</si>
  <si>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</si>
  <si>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</si>
  <si>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</si>
  <si>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</si>
  <si>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</si>
  <si>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</si>
  <si>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</si>
  <si>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</si>
  <si>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</si>
  <si>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</si>
  <si>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</si>
  <si>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</si>
  <si>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</si>
  <si>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</si>
  <si>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</si>
  <si>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</si>
  <si>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</si>
  <si>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</si>
  <si>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</si>
  <si>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</si>
  <si>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</si>
  <si>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</si>
  <si>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</si>
  <si>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</si>
  <si>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</si>
  <si>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</si>
  <si>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</si>
  <si>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</si>
  <si>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</si>
  <si>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</si>
  <si>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</si>
  <si>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</si>
  <si>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</si>
  <si>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</si>
  <si>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</si>
  <si>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</si>
  <si>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</si>
  <si>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</si>
  <si>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</si>
  <si>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</si>
  <si>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</si>
  <si>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</si>
  <si>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</si>
  <si>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</si>
  <si>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</si>
  <si>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</si>
  <si>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</si>
  <si>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</si>
  <si>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</si>
  <si>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</si>
  <si>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</si>
  <si>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</si>
  <si>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</si>
  <si>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</si>
  <si>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</si>
  <si>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</si>
  <si>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</si>
  <si>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</si>
  <si>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</si>
  <si>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</si>
  <si>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</si>
  <si>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</si>
  <si>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</si>
  <si>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</si>
  <si>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</si>
  <si>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</si>
  <si>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</si>
  <si>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</si>
  <si>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</si>
  <si>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</si>
  <si>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</si>
  <si>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</si>
  <si>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</si>
  <si>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</si>
  <si>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</si>
  <si>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</si>
  <si>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</si>
  <si>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</si>
  <si>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</si>
  <si>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</si>
  <si>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</si>
  <si>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</si>
  <si>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</si>
  <si>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</si>
  <si>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</si>
  <si>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</si>
  <si>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</si>
  <si>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</si>
  <si>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</si>
  <si>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</si>
  <si>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</si>
  <si>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</si>
  <si>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</si>
  <si>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</si>
  <si>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</si>
  <si>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</si>
  <si>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</si>
  <si>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</si>
  <si>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</si>
  <si>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</si>
  <si>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</si>
  <si>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</si>
  <si>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</si>
  <si>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</si>
  <si>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</si>
  <si>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</si>
  <si>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</si>
  <si>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</si>
  <si>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</si>
  <si>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</si>
  <si>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</si>
  <si>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</si>
  <si>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</si>
  <si>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</si>
  <si>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</si>
  <si>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</si>
  <si>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</si>
  <si>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</si>
  <si>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</si>
  <si>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</si>
  <si>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</si>
  <si>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</si>
  <si>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</si>
  <si>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</si>
  <si>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</si>
  <si>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</si>
  <si>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</si>
  <si>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</si>
  <si>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</si>
  <si>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</si>
  <si>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</si>
  <si>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</si>
  <si>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</si>
  <si>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</si>
  <si>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</si>
  <si>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</si>
  <si>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</si>
  <si>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</si>
  <si>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</si>
  <si>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</si>
  <si>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</si>
  <si>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</si>
  <si>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</si>
  <si>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</si>
  <si>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</si>
  <si>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</si>
  <si>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</si>
  <si>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</si>
  <si>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</si>
  <si>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</si>
  <si>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</si>
  <si>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</si>
  <si>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</si>
  <si>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</si>
  <si>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</si>
  <si>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</si>
  <si>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</si>
  <si>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</si>
  <si>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</si>
  <si>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</si>
  <si>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</si>
  <si>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</si>
  <si>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</si>
  <si>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</si>
  <si>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</si>
  <si>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</si>
  <si>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</si>
  <si>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</si>
  <si>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</si>
  <si>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</si>
  <si>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</si>
  <si>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</si>
  <si>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</si>
  <si>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</si>
  <si>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</si>
  <si>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</si>
  <si>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</si>
  <si>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</si>
  <si>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</si>
  <si>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</si>
  <si>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</si>
  <si>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</si>
  <si>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</si>
  <si>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</si>
  <si>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</si>
  <si>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</si>
  <si>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</si>
  <si>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</si>
  <si>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</si>
  <si>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</si>
  <si>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</si>
  <si>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</si>
  <si>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</si>
  <si>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</si>
  <si>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</si>
  <si>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</si>
  <si>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</si>
  <si>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</si>
  <si>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</si>
  <si>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</si>
  <si>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</si>
  <si>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</si>
  <si>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</si>
  <si>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</si>
  <si>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</si>
  <si>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</si>
  <si>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</si>
  <si>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</si>
  <si>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</si>
  <si>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</si>
  <si>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</si>
  <si>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</si>
  <si>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</si>
  <si>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</si>
  <si>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</si>
  <si>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</si>
  <si>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</si>
  <si>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</si>
  <si>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</si>
  <si>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</si>
  <si>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</si>
  <si>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</si>
  <si>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</si>
  <si>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</si>
  <si>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</si>
  <si>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</si>
  <si>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</si>
  <si>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</si>
  <si>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</si>
  <si>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</si>
  <si>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</si>
  <si>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</si>
  <si>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</si>
  <si>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SR. JORGE VALENZUELA VASQUEZ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</si>
</sst>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J14" sqref="J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396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20</v>
      </c>
      <c r="AC13" s="108" t="s">
        <v>21</v>
      </c>
    </row>
    <row r="14" spans="1:33" ht="21" customHeight="1" x14ac:dyDescent="0.15">
      <c r="A14" s="280" t="s">
        <v>22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5" zoomScaleNormal="100" workbookViewId="0">
      <selection activeCell="K46" sqref="K4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25</v>
      </c>
      <c r="E21" s="77">
        <f>SUM(E22+E23)</f>
        <v>0</v>
      </c>
      <c r="F21" s="77">
        <f>SUM(F22+F23)</f>
        <v>25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25</v>
      </c>
      <c r="E23" s="78">
        <f>SUM(BM18A!D114:D118)</f>
        <v>0</v>
      </c>
      <c r="F23" s="80">
        <f>SUM(BM18A!E114:E118)</f>
        <v>25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13</v>
      </c>
      <c r="E25" s="100"/>
      <c r="F25" s="93">
        <v>13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8</v>
      </c>
      <c r="E27" s="92"/>
      <c r="F27" s="93">
        <v>8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25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91</v>
      </c>
      <c r="D35" s="81">
        <f>SUM(F35)</f>
        <v>3</v>
      </c>
      <c r="E35" s="92"/>
      <c r="F35" s="93">
        <v>3</v>
      </c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91</v>
      </c>
      <c r="D37" s="81">
        <f>SUM(F37)</f>
        <v>10</v>
      </c>
      <c r="E37" s="96"/>
      <c r="F37" s="97">
        <v>10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130</v>
      </c>
      <c r="C43" s="83">
        <f>BM18A!D158</f>
        <v>0</v>
      </c>
      <c r="D43" s="83">
        <f>BM18A!E158</f>
        <v>130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68</v>
      </c>
      <c r="C45" s="79">
        <f>SUM(BM18A!D132:D139)</f>
        <v>0</v>
      </c>
      <c r="D45" s="79">
        <f>SUM(BM18A!E132:E139)</f>
        <v>68</v>
      </c>
    </row>
    <row r="46" spans="1:6" ht="16.5" customHeight="1" x14ac:dyDescent="0.2">
      <c r="A46" s="90" t="s">
        <v>104</v>
      </c>
      <c r="B46" s="79">
        <f t="shared" si="4"/>
        <v>459</v>
      </c>
      <c r="C46" s="83">
        <f>BM18A!D148</f>
        <v>0</v>
      </c>
      <c r="D46" s="83">
        <f>BM18A!E148</f>
        <v>459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143</v>
      </c>
      <c r="C50" s="79">
        <f>BM18A!D177</f>
        <v>0</v>
      </c>
      <c r="D50" s="79">
        <f>BM18A!E177</f>
        <v>143</v>
      </c>
    </row>
    <row r="51" spans="1:4" ht="16.5" customHeight="1" x14ac:dyDescent="0.2">
      <c r="A51" s="223" t="s">
        <v>109</v>
      </c>
      <c r="B51" s="90">
        <f t="shared" si="4"/>
        <v>5307</v>
      </c>
      <c r="C51" s="81">
        <f>BM18A!D206</f>
        <v>0</v>
      </c>
      <c r="D51" s="81">
        <f>BM18A!E206</f>
        <v>5307</v>
      </c>
    </row>
    <row r="52" spans="1:4" ht="17.25" customHeight="1" x14ac:dyDescent="0.2">
      <c r="A52" s="91" t="s">
        <v>66</v>
      </c>
      <c r="B52" s="77">
        <f>SUM(B42:B51)</f>
        <v>6108</v>
      </c>
      <c r="C52" s="77">
        <f>SUM(C42:C51)</f>
        <v>0</v>
      </c>
      <c r="D52" s="77">
        <f>SUM(D42:D51)</f>
        <v>6108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/>
      <c r="D60" s="84"/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12329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U209"/>
  <sheetViews>
    <sheetView showGridLines="0" tabSelected="1" topLeftCell="A170" zoomScaleNormal="100" workbookViewId="0">
      <selection activeCell="J199" sqref="J19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66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25</v>
      </c>
      <c r="D114" s="65"/>
      <c r="E114" s="114">
        <v>25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5</v>
      </c>
      <c r="D132" s="205"/>
      <c r="E132" s="254">
        <v>5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41</v>
      </c>
      <c r="D133" s="189"/>
      <c r="E133" s="255">
        <v>41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14</v>
      </c>
      <c r="D136" s="189"/>
      <c r="E136" s="255">
        <v>14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8</v>
      </c>
      <c r="D137" s="189"/>
      <c r="E137" s="255">
        <v>8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66</v>
      </c>
      <c r="B140" s="336"/>
      <c r="C140" s="72">
        <f>SUM(C131:C139)</f>
        <v>68</v>
      </c>
      <c r="D140" s="72">
        <f t="shared" ref="D140:F140" si="15">SUM(D131:D139)</f>
        <v>0</v>
      </c>
      <c r="E140" s="256">
        <f t="shared" si="15"/>
        <v>68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448</v>
      </c>
      <c r="D143" s="194"/>
      <c r="E143" s="247">
        <v>448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11</v>
      </c>
      <c r="D144" s="195"/>
      <c r="E144" s="260">
        <v>11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66</v>
      </c>
      <c r="B148" s="336"/>
      <c r="C148" s="159">
        <f>SUM(C143:C147)</f>
        <v>459</v>
      </c>
      <c r="D148" s="159">
        <f t="shared" ref="D148" si="16">SUM(D143:D147)</f>
        <v>0</v>
      </c>
      <c r="E148" s="263">
        <f>SUM(E143:E147)</f>
        <v>459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48</v>
      </c>
      <c r="D151" s="237"/>
      <c r="E151" s="113">
        <v>48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17</v>
      </c>
      <c r="D153" s="213"/>
      <c r="E153" s="114">
        <v>17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65</v>
      </c>
      <c r="D157" s="211"/>
      <c r="E157" s="262">
        <v>65</v>
      </c>
      <c r="F157" s="258"/>
    </row>
    <row r="158" spans="1:6" ht="15" customHeight="1" x14ac:dyDescent="0.2">
      <c r="A158" s="334" t="s">
        <v>66</v>
      </c>
      <c r="B158" s="336"/>
      <c r="C158" s="72">
        <f>SUM(C151:C157)</f>
        <v>130</v>
      </c>
      <c r="D158" s="212">
        <f t="shared" ref="D158:F158" si="18">SUM(D151:D157)</f>
        <v>0</v>
      </c>
      <c r="E158" s="256">
        <f t="shared" si="18"/>
        <v>130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1</v>
      </c>
      <c r="D168" s="227"/>
      <c r="E168" s="267">
        <v>1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7</v>
      </c>
      <c r="D172" s="242"/>
      <c r="E172" s="113">
        <v>7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3</v>
      </c>
      <c r="D173" s="65"/>
      <c r="E173" s="114">
        <v>3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9</v>
      </c>
      <c r="D174" s="65"/>
      <c r="E174" s="114">
        <v>9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124</v>
      </c>
      <c r="D175" s="65"/>
      <c r="E175" s="114">
        <v>124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143</v>
      </c>
      <c r="D177" s="155">
        <f t="shared" ref="D177:E177" si="20">SUM(D172:D176)</f>
        <v>0</v>
      </c>
      <c r="E177" s="271">
        <f t="shared" si="20"/>
        <v>143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465</v>
      </c>
      <c r="D189" s="225"/>
      <c r="E189" s="266">
        <v>465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45</v>
      </c>
      <c r="D190" s="226"/>
      <c r="E190" s="255">
        <v>45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345</v>
      </c>
      <c r="D191" s="210"/>
      <c r="E191" s="255">
        <v>345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446</v>
      </c>
      <c r="D192" s="210"/>
      <c r="E192" s="255">
        <v>446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154</v>
      </c>
      <c r="D193" s="210"/>
      <c r="E193" s="255">
        <v>154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148</v>
      </c>
      <c r="D194" s="226"/>
      <c r="E194" s="277">
        <v>148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554</v>
      </c>
      <c r="D195" s="210"/>
      <c r="E195" s="255">
        <v>554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3</v>
      </c>
      <c r="D198" s="210"/>
      <c r="E198" s="255">
        <v>3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1038</v>
      </c>
      <c r="D202" s="210"/>
      <c r="E202" s="255">
        <v>1038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1</v>
      </c>
      <c r="D203" s="210"/>
      <c r="E203" s="255">
        <v>1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2066</v>
      </c>
      <c r="D204" s="210"/>
      <c r="E204" s="255">
        <v>2066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42</v>
      </c>
      <c r="D205" s="211"/>
      <c r="E205" s="255">
        <v>42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5307</v>
      </c>
      <c r="D206" s="212">
        <f t="shared" ref="D206:F206" si="24">SUM(D189:D205)</f>
        <v>0</v>
      </c>
      <c r="E206" s="256">
        <f t="shared" si="24"/>
        <v>5307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2025-04-04T19:03:10Z</dcterms:modified>
  <cp:category/>
  <cp:contentStatus/>
</cp:coreProperties>
</file>