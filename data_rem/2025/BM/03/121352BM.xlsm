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MARZO\"/>
    </mc:Choice>
  </mc:AlternateContent>
  <xr:revisionPtr revIDLastSave="0" documentId="13_ncr:1_{D6A6799B-411E-4FA2-A389-F46413770393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<sst xmlns="http://schemas.openxmlformats.org/spreadsheetml/2006/main" count="452" uniqueCount="397">
  <si>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</si>
  <si>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</si>
  <si>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</si>
  <si>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</si>
  <si>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</si>
  <si>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</si>
  <si>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</si>
  <si>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MARZO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</si>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</sst>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L14" sqref="L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3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7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7" zoomScaleNormal="100" workbookViewId="0">
      <selection activeCell="F58" sqref="F5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 x14ac:dyDescent="0.2">
      <c r="A4" s="50" t="str">
        <f>CONCATENATE("MES: ",NOMBRE!B6,"  ","( ",NOMBRE!C6,NOMBRE!D6," )")</f>
        <v>MES: MARZO  ( 03 )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8</v>
      </c>
      <c r="E13" s="77">
        <f>SUM(E14:E20)</f>
        <v>0</v>
      </c>
      <c r="F13" s="77">
        <f>SUM(F14:F20)</f>
        <v>8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8</v>
      </c>
      <c r="E20" s="78">
        <f>BM18A!D88</f>
        <v>0</v>
      </c>
      <c r="F20" s="78">
        <f>BM18A!E88</f>
        <v>8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10</v>
      </c>
      <c r="C43" s="83">
        <f>BM18A!D158</f>
        <v>0</v>
      </c>
      <c r="D43" s="83">
        <f>BM18A!E158</f>
        <v>10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206</v>
      </c>
      <c r="C46" s="83">
        <f>BM18A!D148</f>
        <v>0</v>
      </c>
      <c r="D46" s="83">
        <f>BM18A!E148</f>
        <v>206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2</v>
      </c>
      <c r="C48" s="83">
        <f>BM18A!D169</f>
        <v>0</v>
      </c>
      <c r="D48" s="83">
        <f>BM18A!E169</f>
        <v>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25</v>
      </c>
      <c r="C50" s="79">
        <f>BM18A!D177</f>
        <v>0</v>
      </c>
      <c r="D50" s="79">
        <f>BM18A!E177</f>
        <v>25</v>
      </c>
    </row>
    <row r="51" spans="1:4" ht="16.5" customHeight="1" x14ac:dyDescent="0.2">
      <c r="A51" s="223" t="s">
        <v>110</v>
      </c>
      <c r="B51" s="90">
        <f t="shared" si="4"/>
        <v>928</v>
      </c>
      <c r="C51" s="81">
        <f>BM18A!D206</f>
        <v>0</v>
      </c>
      <c r="D51" s="81">
        <f>BM18A!E206</f>
        <v>928</v>
      </c>
    </row>
    <row r="52" spans="1:4" ht="17.25" customHeight="1" x14ac:dyDescent="0.2">
      <c r="A52" s="91" t="s">
        <v>67</v>
      </c>
      <c r="B52" s="77">
        <f>SUM(B42:B51)</f>
        <v>1171</v>
      </c>
      <c r="C52" s="77">
        <f>SUM(C42:C51)</f>
        <v>0</v>
      </c>
      <c r="D52" s="77">
        <f>SUM(D42:D51)</f>
        <v>1171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76</v>
      </c>
      <c r="D60" s="84">
        <v>0</v>
      </c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2434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5" zoomScaleNormal="100" workbookViewId="0">
      <selection activeCell="I196" sqref="I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MARZO  ( 03 )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8</v>
      </c>
      <c r="D83" s="65"/>
      <c r="E83" s="114">
        <v>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67</v>
      </c>
      <c r="B88" s="336"/>
      <c r="C88" s="160">
        <f>SUM(C81:C87)</f>
        <v>8</v>
      </c>
      <c r="D88" s="156">
        <f>SUM(D81:D87)</f>
        <v>0</v>
      </c>
      <c r="E88" s="157">
        <f>SUM(E81:E87)</f>
        <v>8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8</v>
      </c>
      <c r="D89" s="156">
        <f>+D20+D43+D49+D54+D73+D78+D88</f>
        <v>0</v>
      </c>
      <c r="E89" s="157">
        <f>+E20+E43+E49+E54+E73+E78+E88</f>
        <v>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104</v>
      </c>
      <c r="D143" s="194"/>
      <c r="E143" s="247">
        <v>104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102</v>
      </c>
      <c r="D145" s="196"/>
      <c r="E145" s="261">
        <v>102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206</v>
      </c>
      <c r="D148" s="159">
        <f t="shared" ref="D148" si="16">SUM(D143:D147)</f>
        <v>0</v>
      </c>
      <c r="E148" s="263">
        <f>SUM(E143:E147)</f>
        <v>206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9</v>
      </c>
      <c r="D154" s="214"/>
      <c r="E154" s="115">
        <v>9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10</v>
      </c>
      <c r="D158" s="212">
        <f t="shared" ref="D158:F158" si="18">SUM(D151:D157)</f>
        <v>0</v>
      </c>
      <c r="E158" s="256">
        <f t="shared" si="18"/>
        <v>10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2</v>
      </c>
      <c r="D169" s="228">
        <f>SUM(D167:D168)</f>
        <v>0</v>
      </c>
      <c r="E169" s="268">
        <f>SUM(E167:E168)</f>
        <v>2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4</v>
      </c>
      <c r="D172" s="242"/>
      <c r="E172" s="113">
        <v>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20</v>
      </c>
      <c r="D175" s="65"/>
      <c r="E175" s="114">
        <v>20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25</v>
      </c>
      <c r="D177" s="155">
        <f t="shared" ref="D177:E177" si="20">SUM(D172:D176)</f>
        <v>0</v>
      </c>
      <c r="E177" s="271">
        <f t="shared" si="20"/>
        <v>25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16</v>
      </c>
      <c r="D189" s="225"/>
      <c r="E189" s="266">
        <v>16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156</v>
      </c>
      <c r="D191" s="210">
        <v>0</v>
      </c>
      <c r="E191" s="255">
        <v>156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68</v>
      </c>
      <c r="D192" s="210">
        <v>0</v>
      </c>
      <c r="E192" s="255">
        <v>68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0</v>
      </c>
      <c r="D193" s="210">
        <v>0</v>
      </c>
      <c r="E193" s="255">
        <v>0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</v>
      </c>
      <c r="D195" s="210">
        <v>0</v>
      </c>
      <c r="E195" s="255">
        <v>1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265</v>
      </c>
      <c r="D202" s="210">
        <v>0</v>
      </c>
      <c r="E202" s="255">
        <v>265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17</v>
      </c>
      <c r="D203" s="210">
        <v>0</v>
      </c>
      <c r="E203" s="255">
        <v>17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377</v>
      </c>
      <c r="D204" s="210">
        <v>0</v>
      </c>
      <c r="E204" s="255">
        <v>377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28</v>
      </c>
      <c r="D205" s="211"/>
      <c r="E205" s="255">
        <v>28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928</v>
      </c>
      <c r="D206" s="212">
        <f t="shared" ref="D206:F206" si="24">SUM(D189:D205)</f>
        <v>0</v>
      </c>
      <c r="E206" s="256">
        <f t="shared" si="24"/>
        <v>928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MARZO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2025-04-04T19:24:49Z</dcterms:modified>
  <cp:category/>
  <cp:contentStatus/>
</cp:coreProperties>
</file>