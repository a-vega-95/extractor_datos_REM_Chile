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782 CECOF ARQUENCO\MARZO\"/>
    </mc:Choice>
  </mc:AlternateContent>
  <xr:revisionPtr revIDLastSave="0" documentId="13_ncr:1_{3ACB83F6-C7EC-417C-827A-1BB2C110528D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firstSheet="2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<sst xmlns="http://schemas.openxmlformats.org/spreadsheetml/2006/main" count="452" uniqueCount="397">
  <si>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</si>
  <si>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</si>
  <si>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</si>
  <si>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</si>
  <si>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</si>
  <si>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COMUNITARIO DE SALUD FAMILIAR ARQUENCO</t>
  </si>
  <si>
    <t>MES:</t>
  </si>
  <si>
    <t>MARZO</t>
  </si>
  <si>
    <t>AÑO:</t>
  </si>
  <si>
    <t xml:space="preserve"> </t>
  </si>
  <si>
    <t>Versión 1.2 Marzo 2025</t>
  </si>
  <si>
    <t>Director/a Servicio de Salud o Director/a Establecimiento</t>
  </si>
  <si>
    <t>SRA. MADELIN HERNÁNDEZ PÉREZ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</si>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</sst>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I10" sqref="I10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2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3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7</v>
      </c>
      <c r="AB13" s="35" t="s">
        <v>21</v>
      </c>
      <c r="AC13" s="108" t="s">
        <v>22</v>
      </c>
    </row>
    <row r="14" spans="1:33" ht="21" customHeight="1" x14ac:dyDescent="0.15">
      <c r="A14" s="280" t="s">
        <v>23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12" zoomScaleNormal="100" workbookViewId="0">
      <selection activeCell="D67" sqref="D67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COMUNITARIO DE SALUD FAMILIAR ARQUENCO  ( 121782 )</v>
      </c>
    </row>
    <row r="4" spans="1:6" x14ac:dyDescent="0.2">
      <c r="A4" s="50" t="str">
        <f>CONCATENATE("MES: ",NOMBRE!B6,"  ","( ",NOMBRE!C6,NOMBRE!D6," )")</f>
        <v>MES: MARZO  ( 03 )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294"/>
      <c r="B25" s="310"/>
      <c r="C25" s="134" t="s">
        <v>92</v>
      </c>
      <c r="D25" s="80">
        <f>SUM(F25)</f>
        <v>0</v>
      </c>
      <c r="E25" s="100"/>
      <c r="F25" s="93">
        <v>0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294"/>
      <c r="B27" s="310"/>
      <c r="C27" s="134" t="s">
        <v>92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294"/>
      <c r="B29" s="310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94"/>
      <c r="B31" s="310"/>
      <c r="C31" s="134" t="s">
        <v>92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0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294"/>
      <c r="B35" s="310"/>
      <c r="C35" s="134" t="s">
        <v>92</v>
      </c>
      <c r="D35" s="81">
        <f>SUM(F35)</f>
        <v>0</v>
      </c>
      <c r="E35" s="92"/>
      <c r="F35" s="93">
        <v>0</v>
      </c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295"/>
      <c r="B37" s="310"/>
      <c r="C37" s="134" t="s">
        <v>92</v>
      </c>
      <c r="D37" s="81">
        <f>SUM(F37)</f>
        <v>0</v>
      </c>
      <c r="E37" s="96"/>
      <c r="F37" s="97">
        <v>0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46</v>
      </c>
      <c r="C46" s="83">
        <f>BM18A!D148</f>
        <v>0</v>
      </c>
      <c r="D46" s="83">
        <f>BM18A!E148</f>
        <v>46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2</v>
      </c>
      <c r="C50" s="79">
        <f>BM18A!D177</f>
        <v>0</v>
      </c>
      <c r="D50" s="79">
        <f>BM18A!E177</f>
        <v>2</v>
      </c>
    </row>
    <row r="51" spans="1:4" ht="16.5" customHeight="1" x14ac:dyDescent="0.2">
      <c r="A51" s="223" t="s">
        <v>110</v>
      </c>
      <c r="B51" s="90">
        <f t="shared" si="4"/>
        <v>256</v>
      </c>
      <c r="C51" s="81">
        <f>BM18A!D206</f>
        <v>0</v>
      </c>
      <c r="D51" s="81">
        <f>BM18A!E206</f>
        <v>256</v>
      </c>
    </row>
    <row r="52" spans="1:4" ht="17.25" customHeight="1" x14ac:dyDescent="0.2">
      <c r="A52" s="91" t="s">
        <v>67</v>
      </c>
      <c r="B52" s="77">
        <f>SUM(B42:B51)</f>
        <v>304</v>
      </c>
      <c r="C52" s="77">
        <f>SUM(C42:C51)</f>
        <v>0</v>
      </c>
      <c r="D52" s="77">
        <f>SUM(D42:D51)</f>
        <v>304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>
        <v>0</v>
      </c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0</v>
      </c>
      <c r="D60" s="84">
        <v>0</v>
      </c>
    </row>
    <row r="61" spans="1:4" ht="16.5" customHeight="1" x14ac:dyDescent="0.2">
      <c r="A61" s="326"/>
      <c r="B61" s="12" t="s">
        <v>120</v>
      </c>
      <c r="C61" s="88">
        <v>0</v>
      </c>
      <c r="D61" s="85">
        <v>0</v>
      </c>
    </row>
    <row r="62" spans="1:4" ht="16.5" customHeight="1" x14ac:dyDescent="0.2">
      <c r="A62" s="327"/>
      <c r="B62" s="13" t="s">
        <v>121</v>
      </c>
      <c r="C62" s="89">
        <v>0</v>
      </c>
      <c r="D62" s="86">
        <v>0</v>
      </c>
    </row>
    <row r="96" spans="1:1" hidden="1" x14ac:dyDescent="0.2">
      <c r="A96" s="215">
        <f>SUM(D13:D37,B42:B52,B57,C60:C62)</f>
        <v>608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86" zoomScaleNormal="100" workbookViewId="0">
      <selection activeCell="C205" sqref="C205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COMUNITARIO DE SALUD FAMILIAR ARQUENCO  ( 121782 )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MARZO  ( 03 )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29</v>
      </c>
      <c r="D143" s="194"/>
      <c r="E143" s="247">
        <v>29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17</v>
      </c>
      <c r="D144" s="195"/>
      <c r="E144" s="260">
        <v>17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45" t="s">
        <v>67</v>
      </c>
      <c r="B148" s="346"/>
      <c r="C148" s="159">
        <f>SUM(C143:C147)</f>
        <v>46</v>
      </c>
      <c r="D148" s="159">
        <f t="shared" ref="D148" si="16">SUM(D143:D147)</f>
        <v>0</v>
      </c>
      <c r="E148" s="263">
        <f>SUM(E143:E147)</f>
        <v>46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0</v>
      </c>
      <c r="D151" s="237"/>
      <c r="E151" s="113"/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0</v>
      </c>
      <c r="D154" s="214"/>
      <c r="E154" s="115"/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45" t="s">
        <v>67</v>
      </c>
      <c r="B158" s="34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45" t="s">
        <v>67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0</v>
      </c>
      <c r="D172" s="242"/>
      <c r="E172" s="113"/>
      <c r="F172" s="264"/>
    </row>
    <row r="173" spans="1:6" ht="15" customHeight="1" x14ac:dyDescent="0.2">
      <c r="A173" s="60"/>
      <c r="B173" s="121" t="s">
        <v>344</v>
      </c>
      <c r="C173" s="188">
        <f>SUM(D173:E173)</f>
        <v>0</v>
      </c>
      <c r="D173" s="65"/>
      <c r="E173" s="114"/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0</v>
      </c>
      <c r="D174" s="65"/>
      <c r="E174" s="114"/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0</v>
      </c>
      <c r="D175" s="65"/>
      <c r="E175" s="114"/>
      <c r="F175" s="246"/>
    </row>
    <row r="176" spans="1:6" ht="15" customHeight="1" x14ac:dyDescent="0.2">
      <c r="A176" s="200"/>
      <c r="B176" s="198" t="s">
        <v>347</v>
      </c>
      <c r="C176" s="75">
        <f t="shared" si="19"/>
        <v>2</v>
      </c>
      <c r="D176" s="201"/>
      <c r="E176" s="270">
        <v>2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2</v>
      </c>
      <c r="D177" s="155">
        <f t="shared" ref="D177:E177" si="20">SUM(D172:D176)</f>
        <v>0</v>
      </c>
      <c r="E177" s="271">
        <f t="shared" si="20"/>
        <v>2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>
        <v>0</v>
      </c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>
        <v>0</v>
      </c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>
        <v>0</v>
      </c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>
        <v>0</v>
      </c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>
        <v>0</v>
      </c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>
        <v>0</v>
      </c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0</v>
      </c>
      <c r="D189" s="225">
        <v>0</v>
      </c>
      <c r="E189" s="266">
        <v>0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>
        <v>0</v>
      </c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33</v>
      </c>
      <c r="D191" s="210">
        <v>0</v>
      </c>
      <c r="E191" s="255">
        <v>33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0</v>
      </c>
      <c r="D192" s="210">
        <v>0</v>
      </c>
      <c r="E192" s="255">
        <v>0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8</v>
      </c>
      <c r="D193" s="210">
        <v>0</v>
      </c>
      <c r="E193" s="255">
        <v>8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0</v>
      </c>
      <c r="D194" s="226">
        <v>0</v>
      </c>
      <c r="E194" s="277">
        <v>0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0</v>
      </c>
      <c r="D195" s="210">
        <v>0</v>
      </c>
      <c r="E195" s="255">
        <v>0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>
        <v>0</v>
      </c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>
        <v>0</v>
      </c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>
        <v>0</v>
      </c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>
        <v>0</v>
      </c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>
        <v>0</v>
      </c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92</v>
      </c>
      <c r="D202" s="210">
        <v>0</v>
      </c>
      <c r="E202" s="255">
        <v>92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0</v>
      </c>
      <c r="D203" s="210">
        <v>0</v>
      </c>
      <c r="E203" s="255">
        <v>0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117</v>
      </c>
      <c r="D204" s="210">
        <v>0</v>
      </c>
      <c r="E204" s="255">
        <v>117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6</v>
      </c>
      <c r="D205" s="211">
        <v>0</v>
      </c>
      <c r="E205" s="255">
        <v>6</v>
      </c>
      <c r="F205" s="258"/>
    </row>
    <row r="206" spans="1:6" ht="15" customHeight="1" x14ac:dyDescent="0.2">
      <c r="A206" s="345" t="s">
        <v>67</v>
      </c>
      <c r="B206" s="346"/>
      <c r="C206" s="72">
        <f>SUM(C189:C205)</f>
        <v>256</v>
      </c>
      <c r="D206" s="212">
        <f t="shared" ref="D206:F206" si="24">SUM(D189:D205)</f>
        <v>0</v>
      </c>
      <c r="E206" s="256">
        <f t="shared" si="24"/>
        <v>256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MARZO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2025-04-07T14:57:09Z</dcterms:modified>
  <cp:category/>
  <cp:contentStatus/>
</cp:coreProperties>
</file>