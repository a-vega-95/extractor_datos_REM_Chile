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NOVIEMBRE\"/>
    </mc:Choice>
  </mc:AlternateContent>
  <xr:revisionPtr revIDLastSave="0" documentId="13_ncr:1_{4DE9751D-304B-4492-BB3E-0EE10D6FF3AA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<sst xmlns="http://schemas.openxmlformats.org/spreadsheetml/2006/main" count="452" uniqueCount="397">
  <si>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</si>
  <si>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</si>
  <si>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</si>
  <si>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</si>
  <si>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</si>
  <si>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</si>
  <si>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NOVIEMBRE</t>
  </si>
  <si>
    <t>AÑO:</t>
  </si>
  <si>
    <t xml:space="preserve"> </t>
  </si>
  <si>
    <t>Versión 1.2 Marzo 2025</t>
  </si>
  <si>
    <t>Director/a Servicio de Salud o Director/a Establecimiento</t>
  </si>
  <si>
    <t>SRA. MADELIN HERNÁNDEZ PÉREZ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</si>
  <si>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</si>
  <si>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</si>
  <si>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</si>
  <si>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</si>
  <si>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</si>
  <si>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</si>
  <si>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</si>
  <si>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</si>
  <si>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</si>
  <si>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</si>
  <si>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</si>
  <si>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</si>
  <si>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</si>
  <si>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</si>
  <si>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</si>
  <si>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</si>
  <si>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</si>
  <si>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</si>
  <si>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</si>
  <si>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</si>
  <si>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</si>
  <si>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</si>
  <si>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</si>
  <si>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</si>
  <si>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</si>
  <si>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</si>
  <si>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</si>
  <si>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</si>
  <si>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</si>
  <si>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</si>
  <si>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</si>
  <si>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</si>
  <si>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</si>
  <si>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</si>
  <si>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</si>
  <si>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</si>
  <si>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</si>
  <si>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</si>
  <si>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</si>
  <si>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</si>
  <si>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</si>
  <si>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</si>
  <si>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</si>
  <si>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</si>
  <si>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</si>
  <si>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</si>
  <si>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</si>
  <si>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</si>
  <si>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</si>
  <si>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</si>
  <si>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</si>
  <si>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</si>
  <si>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</si>
  <si>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</si>
  <si>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</si>
  <si>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</si>
  <si>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</si>
  <si>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</si>
  <si>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</si>
  <si>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</si>
  <si>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</si>
  <si>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</si>
  <si>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</si>
  <si>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</si>
  <si>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</si>
  <si>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</si>
  <si>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</si>
  <si>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</si>
  <si>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</si>
  <si>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</si>
  <si>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</si>
  <si>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</si>
  <si>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</si>
  <si>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</si>
  <si>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</si>
  <si>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</si>
  <si>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</si>
  <si>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</si>
  <si>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</si>
  <si>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</si>
  <si>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</si>
  <si>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</si>
  <si>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</si>
  <si>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</si>
  <si>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</si>
  <si>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</si>
  <si>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</si>
  <si>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</si>
  <si>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</si>
  <si>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</si>
  <si>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</si>
  <si>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</si>
  <si>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</si>
  <si>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</si>
  <si>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</si>
  <si>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</si>
  <si>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</si>
  <si>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</si>
  <si>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</si>
  <si>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</si>
  <si>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</si>
  <si>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</si>
  <si>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</si>
  <si>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</si>
  <si>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</si>
  <si>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</si>
  <si>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</si>
  <si>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</si>
  <si>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</si>
  <si>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</si>
  <si>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</si>
  <si>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</si>
  <si>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</si>
  <si>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</si>
  <si>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</si>
  <si>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</si>
  <si>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</si>
  <si>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</si>
  <si>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</si>
  <si>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</si>
  <si>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</si>
  <si>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</si>
  <si>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</si>
  <si>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</si>
  <si>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</si>
  <si>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</si>
  <si>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</si>
  <si>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</si>
  <si>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</si>
  <si>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</si>
  <si>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</si>
  <si>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</si>
  <si>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</si>
  <si>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</si>
  <si>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</si>
  <si>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</si>
  <si>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</si>
  <si>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</si>
  <si>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</si>
  <si>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</si>
  <si>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</si>
  <si>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</si>
  <si>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</si>
  <si>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</si>
  <si>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</si>
  <si>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</si>
  <si>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</si>
  <si>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</si>
  <si>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</si>
  <si>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</si>
  <si>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</si>
  <si>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</si>
  <si>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</si>
  <si>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</si>
  <si>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</si>
  <si>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</si>
  <si>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</si>
  <si>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</si>
  <si>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</si>
  <si>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</si>
  <si>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</si>
  <si>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</si>
  <si>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</si>
  <si>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</si>
  <si>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</si>
  <si>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</si>
  <si>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</si>
  <si>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</si>
  <si>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</si>
  <si>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</si>
  <si>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</si>
  <si>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</si>
  <si>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</si>
  <si>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</si>
  <si>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</si>
  <si>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</si>
  <si>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</si>
  <si>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</si>
  <si>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</si>
  <si>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</si>
  <si>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</si>
  <si>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</si>
  <si>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</si>
  <si>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</si>
  <si>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</si>
  <si>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</si>
  <si>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</si>
  <si>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</si>
  <si>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</si>
  <si>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</si>
  <si>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</si>
  <si>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</si>
  <si>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</si>
  <si>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</si>
  <si>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</si>
  <si>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</si>
  <si>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</si>
  <si>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</si>
  <si>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</si>
  <si>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</si>
  <si>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</si>
  <si>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</si>
  <si>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</si>
  <si>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</si>
  <si>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</si>
  <si>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</si>
  <si>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</si>
  <si>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</si>
  <si>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</si>
  <si>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</si>
  <si>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</si>
  <si>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</si>
  <si>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</si>
  <si>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</si>
  <si>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</si>
  <si>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</si>
  <si>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</si>
  <si>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</si>
  <si>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</si>
  <si>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</si>
  <si>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</si>
  <si>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</si>
  <si>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</si>
  <si>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</si>
  <si>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</si>
  <si>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</si>
  <si>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</si>
  <si>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</si>
  <si>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</si>
  <si>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</si>
  <si>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</si>
  <si>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</si>
  <si>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</si>
  <si>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</si>
  <si>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</si>
  <si>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</si>
  <si>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</si>
  <si>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</si>
  <si>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</si>
  <si>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</si>
  <si>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</si>
  <si>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</si>
  <si>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</si>
  <si>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</si>
  <si>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</si>
  <si>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</si>
  <si>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</si>
  <si>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</si>
  <si>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</si>
  <si>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</si>
  <si>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</si>
  <si>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</si>
  <si>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</si>
  <si>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</si>
  <si>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</si>
  <si>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</si>
  <si>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</si>
  <si>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</si>
  <si>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</si>
  <si>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</si>
  <si>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</si>
  <si>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</si>
  <si>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</si>
  <si>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</si>
  <si>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</si>
  <si>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</si>
  <si>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</si>
  <si>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</si>
  <si>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</si>
  <si>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</si>
  <si>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</si>
  <si>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</si>
  <si>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</si>
  <si>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</si>
  <si>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</si>
  <si>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</si>
  <si>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</si>
  <si>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</si>
  <si>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</si>
  <si>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</si>
  <si>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</si>
  <si>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</si>
  <si>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</si>
  <si>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</si>
  <si>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</si>
  <si>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</si>
  <si>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</si>
  <si>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</si>
  <si>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</si>
  <si>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</si>
  <si>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</si>
  <si>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</si>
  <si>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</si>
  <si>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</si>
  <si>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</si>
  <si>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</si>
  <si>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</si>
  <si>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</si>
  <si>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</si>
  <si>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</si>
  <si>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</si>
  <si>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</si>
  <si>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</si>
  <si>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</si>
  <si>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</si>
  <si>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</si>
  <si>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</si>
  <si>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</si>
  <si>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</si>
  <si>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</si>
  <si>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</si>
  <si>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</si>
  <si>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</si>
  <si>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</si>
  <si>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</si>
  <si>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</si>
  <si>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</si>
  <si>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</si>
  <si>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</si>
  <si>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</si>
  <si>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</si>
  <si>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</si>
  <si>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</si>
  <si>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</si>
  <si>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</si>
  <si>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</si>
  <si>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</si>
  <si>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</si>
  <si>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</si>
  <si>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</si>
  <si>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</si>
  <si>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</si>
  <si>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</si>
  <si>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</si>
  <si>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</si>
  <si>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</si>
  <si>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</si>
  <si>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</si>
  <si>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</si>
  <si>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</si>
  <si>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</si>
  <si>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</si>
  <si>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</si>
  <si>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</si>
  <si>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</si>
  <si>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</si>
  <si>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</si>
  <si>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</si>
  <si>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</si>
  <si>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</si>
  <si>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</si>
  <si>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</si>
  <si>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</si>
  <si>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</si>
  <si>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</si>
  <si>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</si>
  <si>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</si>
  <si>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</si>
  <si>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</si>
  <si>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</si>
  <si>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</si>
  <si>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</si>
  <si>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</si>
  <si>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</si>
  <si>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</si>
  <si>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</si>
  <si>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</si>
  <si>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</si>
  <si>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</si>
  <si>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</si>
  <si>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</si>
  <si>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</si>
  <si>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</si>
  <si>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</si>
  <si>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</si>
  <si>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</si>
  <si>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</si>
  <si>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</si>
  <si>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</si>
  <si>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</si>
  <si>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</si>
  <si>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</si>
  <si>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</si>
  <si>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</si>
  <si>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ARQUENCO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</si>
</sst>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F11" sqref="F1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6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2" zoomScaleNormal="100" workbookViewId="0">
      <selection activeCell="C66" sqref="C6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 x14ac:dyDescent="0.2">
      <c r="A4" s="50" t="str">
        <f>CONCATENATE("MES: ",NOMBRE!B6,"  ","( ",NOMBRE!C6,NOMBRE!D6," )")</f>
        <v>MES: NOVIEMBRE  ( 11 )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63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64</v>
      </c>
      <c r="B10" s="325"/>
      <c r="C10" s="325"/>
    </row>
    <row r="11" spans="1:6" ht="12.75" customHeight="1" x14ac:dyDescent="0.2">
      <c r="A11" s="326" t="s">
        <v>65</v>
      </c>
      <c r="B11" s="327"/>
      <c r="C11" s="328"/>
      <c r="D11" s="320" t="s">
        <v>66</v>
      </c>
      <c r="E11" s="320" t="s">
        <v>67</v>
      </c>
      <c r="F11" s="292" t="s">
        <v>68</v>
      </c>
    </row>
    <row r="12" spans="1:6" ht="21.75" customHeight="1" x14ac:dyDescent="0.2">
      <c r="A12" s="329"/>
      <c r="B12" s="330"/>
      <c r="C12" s="331"/>
      <c r="D12" s="322"/>
      <c r="E12" s="322" t="s">
        <v>69</v>
      </c>
      <c r="F12" s="293" t="s">
        <v>69</v>
      </c>
    </row>
    <row r="13" spans="1:6" ht="20.25" customHeight="1" x14ac:dyDescent="0.2">
      <c r="A13" s="43" t="s">
        <v>70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32" t="s">
        <v>72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6" t="s">
        <v>74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6" t="s">
        <v>76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6" t="s">
        <v>78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6" t="s">
        <v>80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04" t="s">
        <v>82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0" t="s">
        <v>84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2" t="s">
        <v>87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88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91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91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91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96</v>
      </c>
      <c r="C34" s="133" t="s">
        <v>90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91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21"/>
      <c r="B36" s="318" t="s">
        <v>97</v>
      </c>
      <c r="C36" s="133" t="s">
        <v>90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91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2" t="s">
        <v>99</v>
      </c>
      <c r="B40" s="292" t="s">
        <v>66</v>
      </c>
      <c r="C40" s="320" t="s">
        <v>67</v>
      </c>
      <c r="D40" s="292" t="s">
        <v>68</v>
      </c>
    </row>
    <row r="41" spans="1:6" ht="25.5" customHeight="1" x14ac:dyDescent="0.2">
      <c r="A41" s="293"/>
      <c r="B41" s="294"/>
      <c r="C41" s="322" t="s">
        <v>69</v>
      </c>
      <c r="D41" s="293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52</v>
      </c>
      <c r="C46" s="83">
        <f>BM18A!D148</f>
        <v>0</v>
      </c>
      <c r="D46" s="83">
        <f>BM18A!E148</f>
        <v>52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0</v>
      </c>
      <c r="C50" s="79">
        <f>BM18A!D177</f>
        <v>0</v>
      </c>
      <c r="D50" s="79">
        <f>BM18A!E177</f>
        <v>0</v>
      </c>
    </row>
    <row r="51" spans="1:4" ht="16.5" customHeight="1" x14ac:dyDescent="0.2">
      <c r="A51" s="223" t="s">
        <v>109</v>
      </c>
      <c r="B51" s="90">
        <f t="shared" si="4"/>
        <v>351</v>
      </c>
      <c r="C51" s="81">
        <f>BM18A!D206</f>
        <v>0</v>
      </c>
      <c r="D51" s="81">
        <f>BM18A!E206</f>
        <v>351</v>
      </c>
    </row>
    <row r="52" spans="1:4" ht="17.25" customHeight="1" x14ac:dyDescent="0.2">
      <c r="A52" s="91" t="s">
        <v>66</v>
      </c>
      <c r="B52" s="77">
        <f>SUM(B42:B51)</f>
        <v>403</v>
      </c>
      <c r="C52" s="77">
        <f>SUM(C42:C51)</f>
        <v>0</v>
      </c>
      <c r="D52" s="77">
        <f>SUM(D42:D51)</f>
        <v>403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02" t="s">
        <v>111</v>
      </c>
      <c r="B55" s="300" t="s">
        <v>66</v>
      </c>
    </row>
    <row r="56" spans="1:4" x14ac:dyDescent="0.2">
      <c r="A56" s="303"/>
      <c r="B56" s="301"/>
    </row>
    <row r="57" spans="1:4" ht="17.25" customHeight="1" x14ac:dyDescent="0.2">
      <c r="A57" s="116" t="s">
        <v>112</v>
      </c>
      <c r="B57" s="207">
        <v>0</v>
      </c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98" t="s">
        <v>114</v>
      </c>
      <c r="B59" s="299"/>
      <c r="C59" s="103" t="s">
        <v>115</v>
      </c>
      <c r="D59" s="104" t="s">
        <v>116</v>
      </c>
    </row>
    <row r="60" spans="1:4" ht="16.5" customHeight="1" x14ac:dyDescent="0.2">
      <c r="A60" s="295" t="s">
        <v>117</v>
      </c>
      <c r="B60" s="208" t="s">
        <v>118</v>
      </c>
      <c r="C60" s="87">
        <v>0</v>
      </c>
      <c r="D60" s="84">
        <v>0</v>
      </c>
    </row>
    <row r="61" spans="1:4" ht="16.5" customHeight="1" x14ac:dyDescent="0.2">
      <c r="A61" s="296"/>
      <c r="B61" s="12" t="s">
        <v>119</v>
      </c>
      <c r="C61" s="88">
        <v>0</v>
      </c>
      <c r="D61" s="85">
        <v>0</v>
      </c>
    </row>
    <row r="62" spans="1:4" ht="16.5" customHeight="1" x14ac:dyDescent="0.2">
      <c r="A62" s="297"/>
      <c r="B62" s="13" t="s">
        <v>120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806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77" zoomScaleNormal="100" workbookViewId="0">
      <selection activeCell="E196" sqref="E19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121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56" t="s">
        <v>1</v>
      </c>
      <c r="B10" s="352" t="s">
        <v>65</v>
      </c>
      <c r="C10" s="354" t="s">
        <v>66</v>
      </c>
      <c r="D10" s="352" t="s">
        <v>67</v>
      </c>
      <c r="E10" s="357" t="s">
        <v>68</v>
      </c>
      <c r="F10" s="352" t="s">
        <v>122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123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46" t="s">
        <v>66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138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34" t="s">
        <v>66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179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34" t="s">
        <v>66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78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34" t="s">
        <v>66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80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34" t="s">
        <v>66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222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34" t="s">
        <v>66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66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242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243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99</v>
      </c>
      <c r="C121" s="352" t="s">
        <v>69</v>
      </c>
      <c r="D121" s="352" t="s">
        <v>67</v>
      </c>
      <c r="E121" s="357" t="s">
        <v>68</v>
      </c>
      <c r="F121" s="354" t="s">
        <v>122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299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66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304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66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314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37</v>
      </c>
      <c r="D143" s="194">
        <v>0</v>
      </c>
      <c r="E143" s="247">
        <v>37</v>
      </c>
      <c r="F143" s="257">
        <v>0</v>
      </c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15</v>
      </c>
      <c r="D144" s="195">
        <v>0</v>
      </c>
      <c r="E144" s="260">
        <v>15</v>
      </c>
      <c r="F144" s="250">
        <v>0</v>
      </c>
    </row>
    <row r="145" spans="1:6" ht="15" customHeight="1" x14ac:dyDescent="0.2">
      <c r="A145" s="60"/>
      <c r="B145" s="129" t="s">
        <v>319</v>
      </c>
      <c r="C145" s="73">
        <f>SUM(D145:E145)</f>
        <v>0</v>
      </c>
      <c r="D145" s="196">
        <v>0</v>
      </c>
      <c r="E145" s="261">
        <v>0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34" t="s">
        <v>66</v>
      </c>
      <c r="B148" s="336"/>
      <c r="C148" s="159">
        <f>SUM(C143:C147)</f>
        <v>52</v>
      </c>
      <c r="D148" s="159">
        <f t="shared" ref="D148" si="16">SUM(D143:D147)</f>
        <v>0</v>
      </c>
      <c r="E148" s="263">
        <f>SUM(E143:E147)</f>
        <v>52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322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66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333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66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338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66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341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0</v>
      </c>
      <c r="D172" s="242">
        <v>0</v>
      </c>
      <c r="E172" s="113">
        <v>0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0</v>
      </c>
      <c r="D173" s="65">
        <v>0</v>
      </c>
      <c r="E173" s="114">
        <v>0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0</v>
      </c>
      <c r="D174" s="65">
        <v>0</v>
      </c>
      <c r="E174" s="114">
        <v>0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 x14ac:dyDescent="0.2">
      <c r="A177" s="334" t="s">
        <v>66</v>
      </c>
      <c r="B177" s="336"/>
      <c r="C177" s="155">
        <f>SUM(C172:C176)</f>
        <v>0</v>
      </c>
      <c r="D177" s="155">
        <f t="shared" ref="D177:E177" si="20">SUM(D172:D176)</f>
        <v>0</v>
      </c>
      <c r="E177" s="271">
        <f t="shared" si="20"/>
        <v>0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347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66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109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0</v>
      </c>
      <c r="D189" s="225">
        <v>0</v>
      </c>
      <c r="E189" s="266">
        <v>0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40</v>
      </c>
      <c r="D191" s="210">
        <v>0</v>
      </c>
      <c r="E191" s="255">
        <v>40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0</v>
      </c>
      <c r="D192" s="210">
        <v>0</v>
      </c>
      <c r="E192" s="255">
        <v>0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10</v>
      </c>
      <c r="D193" s="210">
        <v>0</v>
      </c>
      <c r="E193" s="255">
        <v>10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55</v>
      </c>
      <c r="D195" s="210">
        <v>0</v>
      </c>
      <c r="E195" s="255">
        <v>55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119</v>
      </c>
      <c r="D202" s="210">
        <v>0</v>
      </c>
      <c r="E202" s="255">
        <v>119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>
        <v>0</v>
      </c>
      <c r="E203" s="255">
        <v>0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111</v>
      </c>
      <c r="D204" s="210">
        <v>0</v>
      </c>
      <c r="E204" s="255">
        <v>111</v>
      </c>
      <c r="F204" s="250">
        <v>0</v>
      </c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16</v>
      </c>
      <c r="D205" s="211">
        <v>0</v>
      </c>
      <c r="E205" s="255">
        <v>16</v>
      </c>
      <c r="F205" s="258">
        <v>0</v>
      </c>
    </row>
    <row r="206" spans="1:6" ht="15" customHeight="1" x14ac:dyDescent="0.2">
      <c r="A206" s="334" t="s">
        <v>66</v>
      </c>
      <c r="B206" s="336"/>
      <c r="C206" s="72">
        <f>SUM(C189:C205)</f>
        <v>351</v>
      </c>
      <c r="D206" s="212">
        <f t="shared" ref="D206:F206" si="24">SUM(D189:D205)</f>
        <v>0</v>
      </c>
      <c r="E206" s="256">
        <f t="shared" si="24"/>
        <v>351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NOVIEMBRE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Marta Vega Muñoz</cp:lastModifiedBy>
  <cp:revision/>
  <dcterms:created xsi:type="dcterms:W3CDTF">2007-01-29T23:37:08Z</dcterms:created>
  <dcterms:modified xsi:type="dcterms:W3CDTF">2025-12-03T22:58:22Z</dcterms:modified>
  <cp:category/>
  <cp:contentStatus/>
</cp:coreProperties>
</file>