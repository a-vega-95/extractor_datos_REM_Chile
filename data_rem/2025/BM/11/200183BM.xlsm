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EL CARMEN\"/>
    </mc:Choice>
  </mc:AlternateContent>
  <xr:revisionPtr revIDLastSave="0" documentId="13_ncr:1_{F7213014-9EC0-4AAF-A63E-4DFBBF4005E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<sst xmlns="http://schemas.openxmlformats.org/spreadsheetml/2006/main" count="452" uniqueCount="397">
  <si>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</si>
  <si>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</si>
  <si>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</si>
  <si>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</si>
  <si>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</si>
  <si>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</si>
  <si>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</si>
  <si>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</si>
  <si>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</si>
  <si>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</si>
  <si>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</si>
  <si>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</si>
  <si>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YERSSON SÁEZ GONZÁLEZ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</si>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</sst>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6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  <font>
      <sz val="11"/>
      <color rgb="FF242424"/>
      <name val="Aptos Narrow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7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45" fillId="25" borderId="4" xfId="67" applyFont="1" applyFill="1" applyBorder="1" applyAlignment="1">
      <alignment horizontal="center"/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2" sqref="I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6" t="s">
        <v>0</v>
      </c>
      <c r="B1" s="287"/>
      <c r="C1" s="288" t="s">
        <v>1</v>
      </c>
      <c r="D1" s="289"/>
      <c r="E1" s="289"/>
      <c r="F1" s="289"/>
      <c r="G1" s="290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9" t="str">
        <f>IF(OR(NOMBRE!C2="",NOMBRE!D2="",NOMBRE!E2="",NOMBRE!F2="",NOMBRE!G2=""),"Falta Cód. Com.","")</f>
        <v/>
      </c>
      <c r="J2" s="279"/>
      <c r="K2" s="280"/>
      <c r="L2" s="280"/>
      <c r="M2" s="280"/>
      <c r="N2" s="280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9" t="str">
        <f>IF(OR(NOMBRE!C3="",NOMBRE!D3="",NOMBRE!E3="",NOMBRE!F3="",NOMBRE!G3="",NOMBRE!H3=""),"Falta Cód. Est.","")</f>
        <v/>
      </c>
      <c r="J3" s="279"/>
      <c r="K3" s="280"/>
      <c r="L3" s="280"/>
      <c r="M3" s="280"/>
      <c r="N3" s="280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1" t="s">
        <v>10</v>
      </c>
      <c r="B9" s="292"/>
    </row>
    <row r="10" spans="1:33" ht="12" customHeight="1" x14ac:dyDescent="0.2">
      <c r="A10" s="5"/>
      <c r="B10" s="6"/>
    </row>
    <row r="11" spans="1:33" ht="27.75" customHeight="1" x14ac:dyDescent="0.25">
      <c r="A11" s="151" t="s">
        <v>11</v>
      </c>
      <c r="B11" s="278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1" t="s">
        <v>24</v>
      </c>
      <c r="B14" s="282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3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4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5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F26" sqref="F2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20" t="s">
        <v>64</v>
      </c>
      <c r="B8" s="320"/>
      <c r="C8" s="320"/>
      <c r="D8" s="320"/>
      <c r="E8" s="320"/>
      <c r="F8" s="320"/>
    </row>
    <row r="9" spans="1:6" s="145" customFormat="1" ht="28.5" customHeight="1" x14ac:dyDescent="0.2">
      <c r="A9" s="320"/>
      <c r="B9" s="320"/>
      <c r="C9" s="320"/>
      <c r="D9" s="320"/>
      <c r="E9" s="320"/>
      <c r="F9" s="320"/>
    </row>
    <row r="10" spans="1:6" ht="26.25" customHeight="1" x14ac:dyDescent="0.2">
      <c r="A10" s="326" t="s">
        <v>65</v>
      </c>
      <c r="B10" s="326"/>
      <c r="C10" s="326"/>
    </row>
    <row r="11" spans="1:6" ht="12.75" customHeight="1" x14ac:dyDescent="0.2">
      <c r="A11" s="327" t="s">
        <v>66</v>
      </c>
      <c r="B11" s="328"/>
      <c r="C11" s="329"/>
      <c r="D11" s="321" t="s">
        <v>67</v>
      </c>
      <c r="E11" s="321" t="s">
        <v>68</v>
      </c>
      <c r="F11" s="293" t="s">
        <v>69</v>
      </c>
    </row>
    <row r="12" spans="1:6" ht="21.75" customHeight="1" x14ac:dyDescent="0.2">
      <c r="A12" s="330"/>
      <c r="B12" s="331"/>
      <c r="C12" s="332"/>
      <c r="D12" s="323"/>
      <c r="E12" s="323" t="s">
        <v>70</v>
      </c>
      <c r="F12" s="294" t="s">
        <v>70</v>
      </c>
    </row>
    <row r="13" spans="1:6" ht="20.25" customHeight="1" x14ac:dyDescent="0.2">
      <c r="A13" s="43" t="s">
        <v>71</v>
      </c>
      <c r="B13" s="324"/>
      <c r="C13" s="325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3" t="s">
        <v>73</v>
      </c>
      <c r="C14" s="334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7" t="s">
        <v>75</v>
      </c>
      <c r="C15" s="308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7" t="s">
        <v>77</v>
      </c>
      <c r="C16" s="308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7" t="s">
        <v>79</v>
      </c>
      <c r="C17" s="308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7" t="s">
        <v>81</v>
      </c>
      <c r="C18" s="308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5" t="s">
        <v>83</v>
      </c>
      <c r="C19" s="306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1" t="s">
        <v>85</v>
      </c>
      <c r="C20" s="312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4"/>
      <c r="C21" s="325"/>
      <c r="D21" s="77">
        <f>SUM(E21:F21)</f>
        <v>9</v>
      </c>
      <c r="E21" s="77">
        <f>SUM(E22+E23)</f>
        <v>0</v>
      </c>
      <c r="F21" s="77">
        <f>SUM(F22+F23)</f>
        <v>9</v>
      </c>
    </row>
    <row r="22" spans="1:6" ht="17.25" customHeight="1" x14ac:dyDescent="0.2">
      <c r="A22" s="98" t="s">
        <v>87</v>
      </c>
      <c r="B22" s="313" t="s">
        <v>88</v>
      </c>
      <c r="C22" s="314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5" t="s">
        <v>89</v>
      </c>
      <c r="C23" s="316"/>
      <c r="D23" s="80">
        <f t="shared" ref="D23" si="2">SUM(E23:F23)</f>
        <v>9</v>
      </c>
      <c r="E23" s="78">
        <f>SUM(BM18A!D114:D118)</f>
        <v>0</v>
      </c>
      <c r="F23" s="80">
        <f>SUM(BM18A!E114:E118)</f>
        <v>9</v>
      </c>
    </row>
    <row r="24" spans="1:6" ht="17.25" customHeight="1" x14ac:dyDescent="0.2">
      <c r="A24" s="321"/>
      <c r="B24" s="317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2"/>
      <c r="B25" s="318"/>
      <c r="C25" s="134" t="s">
        <v>92</v>
      </c>
      <c r="D25" s="80">
        <f>SUM(F25)</f>
        <v>9</v>
      </c>
      <c r="E25" s="100"/>
      <c r="F25" s="93">
        <v>9</v>
      </c>
    </row>
    <row r="26" spans="1:6" ht="17.25" customHeight="1" x14ac:dyDescent="0.2">
      <c r="A26" s="322"/>
      <c r="B26" s="31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2"/>
      <c r="B27" s="318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2"/>
      <c r="B28" s="31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2"/>
      <c r="B29" s="318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2"/>
      <c r="B30" s="31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2"/>
      <c r="B31" s="318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2"/>
      <c r="B32" s="309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2"/>
      <c r="B33" s="310"/>
      <c r="C33" s="134" t="s">
        <v>92</v>
      </c>
      <c r="D33" s="80">
        <f>SUM(D25+D27+D29+D31)</f>
        <v>9</v>
      </c>
      <c r="E33" s="92"/>
      <c r="F33" s="92"/>
    </row>
    <row r="34" spans="1:6" ht="17.25" customHeight="1" x14ac:dyDescent="0.2">
      <c r="A34" s="322"/>
      <c r="B34" s="31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2"/>
      <c r="B35" s="318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2"/>
      <c r="B36" s="31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3"/>
      <c r="B37" s="318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3" t="s">
        <v>100</v>
      </c>
      <c r="B40" s="293" t="s">
        <v>67</v>
      </c>
      <c r="C40" s="321" t="s">
        <v>68</v>
      </c>
      <c r="D40" s="293" t="s">
        <v>69</v>
      </c>
    </row>
    <row r="41" spans="1:6" ht="25.5" customHeight="1" x14ac:dyDescent="0.2">
      <c r="A41" s="294"/>
      <c r="B41" s="295"/>
      <c r="C41" s="323" t="s">
        <v>70</v>
      </c>
      <c r="D41" s="294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25</v>
      </c>
      <c r="C43" s="83">
        <f>BM18A!D158</f>
        <v>0</v>
      </c>
      <c r="D43" s="83">
        <f>BM18A!E158</f>
        <v>25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156</v>
      </c>
      <c r="C46" s="83">
        <f>BM18A!D148</f>
        <v>0</v>
      </c>
      <c r="D46" s="83">
        <f>BM18A!E148</f>
        <v>156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132</v>
      </c>
      <c r="C50" s="79">
        <f>BM18A!D177</f>
        <v>0</v>
      </c>
      <c r="D50" s="79">
        <f>BM18A!E177</f>
        <v>132</v>
      </c>
    </row>
    <row r="51" spans="1:4" ht="16.5" customHeight="1" x14ac:dyDescent="0.2">
      <c r="A51" s="223" t="s">
        <v>110</v>
      </c>
      <c r="B51" s="90">
        <f t="shared" si="4"/>
        <v>1608</v>
      </c>
      <c r="C51" s="81">
        <f>BM18A!D206</f>
        <v>0</v>
      </c>
      <c r="D51" s="81">
        <f>BM18A!E206</f>
        <v>1608</v>
      </c>
    </row>
    <row r="52" spans="1:4" ht="17.25" customHeight="1" x14ac:dyDescent="0.2">
      <c r="A52" s="91" t="s">
        <v>67</v>
      </c>
      <c r="B52" s="77">
        <f>SUM(B42:B51)</f>
        <v>1922</v>
      </c>
      <c r="C52" s="77">
        <f>SUM(C42:C51)</f>
        <v>0</v>
      </c>
      <c r="D52" s="77">
        <f>SUM(D42:D51)</f>
        <v>1922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3" t="s">
        <v>112</v>
      </c>
      <c r="B55" s="301" t="s">
        <v>67</v>
      </c>
    </row>
    <row r="56" spans="1:4" x14ac:dyDescent="0.2">
      <c r="A56" s="304"/>
      <c r="B56" s="302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9" t="s">
        <v>115</v>
      </c>
      <c r="B59" s="300"/>
      <c r="C59" s="103" t="s">
        <v>116</v>
      </c>
      <c r="D59" s="104" t="s">
        <v>117</v>
      </c>
    </row>
    <row r="60" spans="1:4" ht="16.5" customHeight="1" x14ac:dyDescent="0.2">
      <c r="A60" s="296" t="s">
        <v>118</v>
      </c>
      <c r="B60" s="208" t="s">
        <v>119</v>
      </c>
      <c r="C60" s="87">
        <v>0</v>
      </c>
      <c r="D60" s="84"/>
    </row>
    <row r="61" spans="1:4" ht="16.5" customHeight="1" x14ac:dyDescent="0.2">
      <c r="A61" s="297"/>
      <c r="B61" s="12" t="s">
        <v>120</v>
      </c>
      <c r="C61" s="88"/>
      <c r="D61" s="85"/>
    </row>
    <row r="62" spans="1:4" ht="16.5" customHeight="1" x14ac:dyDescent="0.2">
      <c r="A62" s="298"/>
      <c r="B62" s="13" t="s">
        <v>121</v>
      </c>
      <c r="C62" s="89"/>
      <c r="D62" s="86"/>
    </row>
    <row r="96" spans="1:1" hidden="1" x14ac:dyDescent="0.2">
      <c r="A96" s="215">
        <f>SUM(D13:D37,B42:B52,B57,C60:C62)</f>
        <v>3880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3" zoomScaleNormal="100" workbookViewId="0">
      <selection activeCell="I188" sqref="I18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6"/>
      <c r="B6" s="346"/>
      <c r="C6" s="346"/>
      <c r="U6" s="54"/>
    </row>
    <row r="7" spans="1:21" s="53" customFormat="1" ht="36.75" customHeight="1" x14ac:dyDescent="0.15">
      <c r="A7" s="360" t="s">
        <v>122</v>
      </c>
      <c r="B7" s="360"/>
      <c r="C7" s="360"/>
      <c r="D7" s="360"/>
      <c r="E7" s="360"/>
      <c r="F7" s="360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7" t="s">
        <v>1</v>
      </c>
      <c r="B10" s="353" t="s">
        <v>66</v>
      </c>
      <c r="C10" s="355" t="s">
        <v>67</v>
      </c>
      <c r="D10" s="353" t="s">
        <v>68</v>
      </c>
      <c r="E10" s="358" t="s">
        <v>69</v>
      </c>
      <c r="F10" s="353" t="s">
        <v>123</v>
      </c>
    </row>
    <row r="11" spans="1:21" ht="18" customHeight="1" x14ac:dyDescent="0.2">
      <c r="A11" s="357"/>
      <c r="B11" s="354"/>
      <c r="C11" s="356"/>
      <c r="D11" s="354"/>
      <c r="E11" s="359"/>
      <c r="F11" s="354"/>
    </row>
    <row r="12" spans="1:21" ht="15" customHeight="1" x14ac:dyDescent="0.2">
      <c r="A12" s="349" t="s">
        <v>124</v>
      </c>
      <c r="B12" s="349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7" t="s">
        <v>67</v>
      </c>
      <c r="B20" s="348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9" t="s">
        <v>139</v>
      </c>
      <c r="B22" s="349"/>
      <c r="C22" s="350"/>
      <c r="D22" s="351"/>
      <c r="E22" s="351"/>
      <c r="F22" s="352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5" t="s">
        <v>67</v>
      </c>
      <c r="B43" s="336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40" t="s">
        <v>180</v>
      </c>
      <c r="B45" s="345"/>
      <c r="C45" s="361"/>
      <c r="D45" s="361"/>
      <c r="E45" s="361"/>
      <c r="F45" s="362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5" t="s">
        <v>67</v>
      </c>
      <c r="B49" s="337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40" t="s">
        <v>79</v>
      </c>
      <c r="B51" s="345"/>
      <c r="C51" s="342"/>
      <c r="D51" s="342"/>
      <c r="E51" s="342"/>
      <c r="F51" s="34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5" t="s">
        <v>67</v>
      </c>
      <c r="B54" s="337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40" t="s">
        <v>81</v>
      </c>
      <c r="B56" s="345"/>
      <c r="C56" s="344"/>
      <c r="D56" s="342"/>
      <c r="E56" s="342"/>
      <c r="F56" s="34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5" t="s">
        <v>67</v>
      </c>
      <c r="B73" s="336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8" t="s">
        <v>223</v>
      </c>
      <c r="B75" s="339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5" t="s">
        <v>67</v>
      </c>
      <c r="B78" s="336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40" t="s">
        <v>228</v>
      </c>
      <c r="B80" s="341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5" t="s">
        <v>67</v>
      </c>
      <c r="B88" s="337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5" t="s">
        <v>243</v>
      </c>
      <c r="B89" s="337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9" t="s">
        <v>244</v>
      </c>
      <c r="B91" s="370"/>
      <c r="C91" s="363"/>
      <c r="D91" s="363"/>
      <c r="E91" s="363"/>
      <c r="F91" s="364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9</v>
      </c>
      <c r="D114" s="65"/>
      <c r="E114" s="114">
        <v>9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5" t="s">
        <v>299</v>
      </c>
      <c r="B120" s="376"/>
      <c r="C120" s="376"/>
      <c r="D120" s="376"/>
      <c r="E120" s="376"/>
      <c r="F120" s="376"/>
    </row>
    <row r="121" spans="1:6" ht="14.1" customHeight="1" x14ac:dyDescent="0.2">
      <c r="A121" s="353" t="s">
        <v>1</v>
      </c>
      <c r="B121" s="367" t="s">
        <v>100</v>
      </c>
      <c r="C121" s="353" t="s">
        <v>70</v>
      </c>
      <c r="D121" s="353" t="s">
        <v>68</v>
      </c>
      <c r="E121" s="358" t="s">
        <v>69</v>
      </c>
      <c r="F121" s="355" t="s">
        <v>123</v>
      </c>
    </row>
    <row r="122" spans="1:6" s="141" customFormat="1" ht="15" customHeight="1" x14ac:dyDescent="0.2">
      <c r="A122" s="354"/>
      <c r="B122" s="368"/>
      <c r="C122" s="354"/>
      <c r="D122" s="354"/>
      <c r="E122" s="359"/>
      <c r="F122" s="356"/>
    </row>
    <row r="123" spans="1:6" ht="15" customHeight="1" x14ac:dyDescent="0.2">
      <c r="A123" s="340" t="s">
        <v>300</v>
      </c>
      <c r="B123" s="345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5" t="s">
        <v>67</v>
      </c>
      <c r="B128" s="337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40" t="s">
        <v>305</v>
      </c>
      <c r="B130" s="345"/>
      <c r="C130" s="371"/>
      <c r="D130" s="372"/>
      <c r="E130" s="372"/>
      <c r="F130" s="373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5" t="s">
        <v>67</v>
      </c>
      <c r="B140" s="337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40" t="s">
        <v>315</v>
      </c>
      <c r="B142" s="345"/>
      <c r="C142" s="371"/>
      <c r="D142" s="372"/>
      <c r="E142" s="372"/>
      <c r="F142" s="373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153</v>
      </c>
      <c r="D143" s="194"/>
      <c r="E143" s="247">
        <v>153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3</v>
      </c>
      <c r="D145" s="196"/>
      <c r="E145" s="261">
        <v>3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5" t="s">
        <v>67</v>
      </c>
      <c r="B148" s="337"/>
      <c r="C148" s="159">
        <f>SUM(C143:C147)</f>
        <v>156</v>
      </c>
      <c r="D148" s="159">
        <f t="shared" ref="D148" si="16">SUM(D143:D147)</f>
        <v>0</v>
      </c>
      <c r="E148" s="263">
        <f>SUM(E143:E147)</f>
        <v>156</v>
      </c>
      <c r="F148" s="259">
        <f>SUM(F143:F147)</f>
        <v>0</v>
      </c>
    </row>
    <row r="149" spans="1:6" ht="15" customHeight="1" x14ac:dyDescent="0.2">
      <c r="A149" s="130"/>
      <c r="B149" s="374"/>
      <c r="C149" s="374"/>
      <c r="D149" s="374"/>
      <c r="E149" s="374"/>
      <c r="F149" s="374"/>
    </row>
    <row r="150" spans="1:6" ht="15" customHeight="1" x14ac:dyDescent="0.2">
      <c r="A150" s="365" t="s">
        <v>323</v>
      </c>
      <c r="B150" s="366"/>
      <c r="C150" s="335"/>
      <c r="D150" s="336"/>
      <c r="E150" s="336"/>
      <c r="F150" s="337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9</v>
      </c>
      <c r="D151" s="237"/>
      <c r="E151" s="113">
        <v>9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14</v>
      </c>
      <c r="D152" s="213"/>
      <c r="E152" s="114">
        <v>14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</v>
      </c>
      <c r="D154" s="214"/>
      <c r="E154" s="115">
        <v>2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5" t="s">
        <v>67</v>
      </c>
      <c r="B158" s="337"/>
      <c r="C158" s="72">
        <f>SUM(C151:C157)</f>
        <v>25</v>
      </c>
      <c r="D158" s="212">
        <f t="shared" ref="D158:F158" si="18">SUM(D151:D157)</f>
        <v>0</v>
      </c>
      <c r="E158" s="256">
        <f t="shared" si="18"/>
        <v>25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40" t="s">
        <v>334</v>
      </c>
      <c r="B160" s="345"/>
      <c r="C160" s="335"/>
      <c r="D160" s="336"/>
      <c r="E160" s="336"/>
      <c r="F160" s="337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5" t="s">
        <v>67</v>
      </c>
      <c r="B164" s="337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40" t="s">
        <v>339</v>
      </c>
      <c r="B166" s="345"/>
      <c r="C166" s="335"/>
      <c r="D166" s="336"/>
      <c r="E166" s="336"/>
      <c r="F166" s="337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5" t="s">
        <v>67</v>
      </c>
      <c r="B169" s="337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77"/>
      <c r="B170" s="377"/>
      <c r="C170" s="377"/>
      <c r="D170" s="377"/>
      <c r="E170" s="377"/>
      <c r="F170" s="377"/>
    </row>
    <row r="171" spans="1:6" ht="15" customHeight="1" x14ac:dyDescent="0.2">
      <c r="A171" s="340" t="s">
        <v>342</v>
      </c>
      <c r="B171" s="345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5</v>
      </c>
      <c r="D172" s="242"/>
      <c r="E172" s="113">
        <v>5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/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31</v>
      </c>
      <c r="D175" s="65"/>
      <c r="E175" s="114">
        <v>31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84</v>
      </c>
      <c r="D176" s="201"/>
      <c r="E176" s="270">
        <v>84</v>
      </c>
      <c r="F176" s="246"/>
    </row>
    <row r="177" spans="1:6" ht="15" customHeight="1" x14ac:dyDescent="0.2">
      <c r="A177" s="335" t="s">
        <v>67</v>
      </c>
      <c r="B177" s="337"/>
      <c r="C177" s="155">
        <f>SUM(C172:C176)</f>
        <v>132</v>
      </c>
      <c r="D177" s="155">
        <f t="shared" ref="D177:E177" si="20">SUM(D172:D176)</f>
        <v>0</v>
      </c>
      <c r="E177" s="271">
        <f t="shared" si="20"/>
        <v>132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40" t="s">
        <v>348</v>
      </c>
      <c r="B179" s="345"/>
      <c r="C179" s="340"/>
      <c r="D179" s="345"/>
      <c r="E179" s="345"/>
      <c r="F179" s="341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5" t="s">
        <v>67</v>
      </c>
      <c r="B186" s="337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4"/>
      <c r="B187" s="374"/>
      <c r="C187" s="374"/>
      <c r="D187" s="374"/>
      <c r="E187" s="374"/>
      <c r="F187" s="374"/>
    </row>
    <row r="188" spans="1:6" ht="15" customHeight="1" x14ac:dyDescent="0.2">
      <c r="A188" s="340" t="s">
        <v>110</v>
      </c>
      <c r="B188" s="345"/>
      <c r="C188" s="371"/>
      <c r="D188" s="372"/>
      <c r="E188" s="372"/>
      <c r="F188" s="373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79</v>
      </c>
      <c r="D189" s="225"/>
      <c r="E189" s="266">
        <v>79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264</v>
      </c>
      <c r="D191" s="210"/>
      <c r="E191" s="255">
        <v>264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8</v>
      </c>
      <c r="D192" s="210"/>
      <c r="E192" s="255">
        <v>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39</v>
      </c>
      <c r="D193" s="210"/>
      <c r="E193" s="255">
        <v>39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22</v>
      </c>
      <c r="D194" s="226"/>
      <c r="E194" s="277">
        <v>22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26</v>
      </c>
      <c r="D195" s="210"/>
      <c r="E195" s="255">
        <v>26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392</v>
      </c>
      <c r="D202" s="210"/>
      <c r="E202" s="255">
        <v>392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25</v>
      </c>
      <c r="D203" s="210"/>
      <c r="E203" s="255">
        <v>25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744</v>
      </c>
      <c r="D204" s="210"/>
      <c r="E204" s="255">
        <v>744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9</v>
      </c>
      <c r="D205" s="211"/>
      <c r="E205" s="255">
        <v>9</v>
      </c>
      <c r="F205" s="258"/>
    </row>
    <row r="206" spans="1:6" ht="15" customHeight="1" x14ac:dyDescent="0.2">
      <c r="A206" s="335" t="s">
        <v>67</v>
      </c>
      <c r="B206" s="337"/>
      <c r="C206" s="72">
        <f>SUM(C189:C205)</f>
        <v>1608</v>
      </c>
      <c r="D206" s="212">
        <f t="shared" ref="D206:F206" si="24">SUM(D189:D205)</f>
        <v>0</v>
      </c>
      <c r="E206" s="256">
        <f t="shared" si="24"/>
        <v>1608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8" t="s">
        <v>394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80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1" t="str">
        <f>IF(Control!D7&gt;0,"ANTES DE EJECUTAR LA MACRO REVISE LA HOJA CONTROL, EXISTEN ERRORES","")</f>
        <v/>
      </c>
      <c r="C7" s="382"/>
      <c r="D7" s="382"/>
      <c r="E7" s="382"/>
      <c r="F7" s="382"/>
      <c r="G7" s="382"/>
      <c r="H7" s="383"/>
    </row>
    <row r="8" spans="1:14" x14ac:dyDescent="0.2">
      <c r="B8" s="384"/>
      <c r="C8" s="385"/>
      <c r="D8" s="385"/>
      <c r="E8" s="385"/>
      <c r="F8" s="385"/>
      <c r="G8" s="385"/>
      <c r="H8" s="386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2025-12-04T17:38:41Z</dcterms:modified>
  <cp:category/>
  <cp:contentStatus/>
</cp:coreProperties>
</file>