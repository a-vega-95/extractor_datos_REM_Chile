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edro\Documents\Wk\W-Boyeco\2025 - Proceso Estadisticas\2025\Serie BM\"/>
    </mc:Choice>
  </mc:AlternateContent>
  <xr:revisionPtr revIDLastSave="0" documentId="8_{122539AB-E10B-4ED8-BDE6-289770480544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39270" yWindow="915" windowWidth="14925" windowHeight="8520" tabRatio="765" firstSheet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<sst xmlns="http://schemas.openxmlformats.org/spreadsheetml/2006/main" count="452" uniqueCount="397">
  <si>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</si>
  <si>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</si>
  <si>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</si>
  <si>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</si>
  <si>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</si>
  <si>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POSTA DE SALUD RURAL COLLIMALLIN</t>
  </si>
  <si>
    <t>MES:</t>
  </si>
  <si>
    <t>NOVIEMBRE</t>
  </si>
  <si>
    <t>AÑO:</t>
  </si>
  <si>
    <t xml:space="preserve"> </t>
  </si>
  <si>
    <t>Versión 1.2 Marzo 2025</t>
  </si>
  <si>
    <t>Director/a Servicio de Salud o Director/a Establecimiento</t>
  </si>
  <si>
    <t>SR. CRISTIAN JARA ORELLANA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</si>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</sst>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1" formatCode="_-* #,##0_-;\-* #,##0_-;_-* &quot;-&quot;_-;_-@_-"/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#,##0_)"/>
    <numFmt numFmtId="166" formatCode="_-[$€-2]* #,##0.00_-;\-[$€-2]* #,##0.00_-;_-[$€-2]* &quot;-&quot;??_-"/>
  </numFmts>
  <fonts count="45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6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29" fillId="3" borderId="0" applyNumberFormat="0" applyBorder="0" applyAlignment="0" applyProtection="0"/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7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2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41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5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5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5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1" defaultTableStyle="TableStyleMedium9" defaultPivotStyle="PivotStyleLight16">
    <tableStyle name="Invisible" pivot="0" table="0" count="0" xr9:uid="{2975528A-4622-4602-95E1-85EFBD2F3388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393700</xdr:colOff>
          <xdr:row>4</xdr:row>
          <xdr:rowOff>95250</xdr:rowOff>
        </xdr:from>
        <xdr:to>
          <xdr:col>7</xdr:col>
          <xdr:colOff>298450</xdr:colOff>
          <xdr:row>4</xdr:row>
          <xdr:rowOff>527050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G7" sqref="G7"/>
    </sheetView>
  </sheetViews>
  <sheetFormatPr defaultColWidth="11.42578125" defaultRowHeight="12" customHeight="1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4</v>
      </c>
      <c r="G3" s="38">
        <v>6</v>
      </c>
      <c r="H3" s="39">
        <v>0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>
      <c r="A6" s="169" t="s">
        <v>6</v>
      </c>
      <c r="B6" s="170" t="s">
        <v>7</v>
      </c>
      <c r="C6" s="171">
        <v>1</v>
      </c>
      <c r="D6" s="172">
        <v>1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>
      <c r="A7" s="105" t="s">
        <v>8</v>
      </c>
      <c r="B7" s="107">
        <v>2025</v>
      </c>
      <c r="AG7" s="28">
        <f>SUM(AG2:AG6)</f>
        <v>0</v>
      </c>
    </row>
    <row r="8" spans="1:33" ht="12" customHeight="1">
      <c r="A8" s="3"/>
      <c r="B8" s="4"/>
      <c r="G8" s="1" t="s">
        <v>9</v>
      </c>
    </row>
    <row r="9" spans="1:33" ht="24" customHeight="1">
      <c r="A9" s="290" t="s">
        <v>10</v>
      </c>
      <c r="B9" s="291"/>
    </row>
    <row r="10" spans="1:33" ht="12" customHeight="1">
      <c r="A10" s="5"/>
      <c r="B10" s="6"/>
    </row>
    <row r="11" spans="1:33" ht="27.75" customHeight="1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34</v>
      </c>
      <c r="AB18" s="35" t="s">
        <v>35</v>
      </c>
      <c r="AC18" s="109"/>
    </row>
    <row r="19" spans="2:29" ht="40.5" customHeight="1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36</v>
      </c>
      <c r="AB19" s="35" t="s">
        <v>37</v>
      </c>
      <c r="AC19" s="109"/>
    </row>
    <row r="20" spans="2:29" ht="21" customHeight="1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38</v>
      </c>
      <c r="AB20" s="35" t="s">
        <v>39</v>
      </c>
      <c r="AC20" s="109"/>
    </row>
    <row r="21" spans="2:29" ht="21" customHeight="1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7</v>
      </c>
      <c r="AB21" s="35" t="s">
        <v>40</v>
      </c>
      <c r="AC21" s="109"/>
    </row>
    <row r="22" spans="2:29" ht="21" customHeight="1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>
      <c r="AA38" s="112"/>
      <c r="AB38" s="35" t="s">
        <v>58</v>
      </c>
      <c r="AC38" s="108"/>
    </row>
    <row r="39" spans="14:29" ht="12" customHeight="1">
      <c r="AA39" s="112"/>
      <c r="AB39" s="35" t="s">
        <v>59</v>
      </c>
      <c r="AC39" s="112"/>
    </row>
    <row r="40" spans="14:29" ht="12" customHeight="1">
      <c r="AA40" s="112"/>
      <c r="AB40" s="35" t="s">
        <v>60</v>
      </c>
      <c r="AC40" s="112"/>
    </row>
    <row r="41" spans="14:29" ht="12" customHeight="1">
      <c r="AA41" s="112"/>
      <c r="AB41" s="35" t="s">
        <v>61</v>
      </c>
      <c r="AC41" s="112"/>
    </row>
    <row r="42" spans="14:29" ht="12" customHeight="1">
      <c r="AA42" s="112"/>
      <c r="AB42" s="35" t="s">
        <v>62</v>
      </c>
      <c r="AC42" s="112"/>
    </row>
    <row r="43" spans="14:29" ht="12" customHeight="1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13" zoomScaleNormal="100" workbookViewId="0"/>
  </sheetViews>
  <sheetFormatPr defaultColWidth="11.42578125" defaultRowHeight="13.5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>
      <c r="A1" s="50" t="s">
        <v>63</v>
      </c>
    </row>
    <row r="2" spans="1:6">
      <c r="A2" s="50" t="str">
        <f>CONCATENATE("COMUNA: ",NOMBRE!B2,"  ","( ",NOMBRE!C2,NOMBRE!D2,NOMBRE!E2,NOMBRE!F2,NOMBRE!G2," )")</f>
        <v>COMUNA: TEMUCO  ( 09101 )</v>
      </c>
    </row>
    <row r="3" spans="1:6">
      <c r="A3" s="50" t="str">
        <f>CONCATENATE("ESTABLECIMIENTO/ESTRATEGIA: ",NOMBRE!B3,"  ","( ",NOMBRE!C3,NOMBRE!D3,NOMBRE!E3,NOMBRE!F3,NOMBRE!G3,NOMBRE!H3," )")</f>
        <v>ESTABLECIMIENTO/ESTRATEGIA: POSTA DE SALUD RURAL COLLIMALLIN  ( 121460 )</v>
      </c>
    </row>
    <row r="4" spans="1:6">
      <c r="A4" s="50" t="str">
        <f>CONCATENATE("MES: ",NOMBRE!B6,"  ","( ",NOMBRE!C6,NOMBRE!D6," )")</f>
        <v>MES: NOVIEMBRE  ( 11 )</v>
      </c>
    </row>
    <row r="5" spans="1:6">
      <c r="A5" s="50" t="str">
        <f>CONCATENATE("AÑO: ",NOMBRE!B7)</f>
        <v>AÑO: 2025</v>
      </c>
    </row>
    <row r="8" spans="1:6" ht="29.25" customHeight="1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>
      <c r="A9" s="292"/>
      <c r="B9" s="292"/>
      <c r="C9" s="292"/>
      <c r="D9" s="292"/>
      <c r="E9" s="292"/>
      <c r="F9" s="292"/>
    </row>
    <row r="10" spans="1:6" ht="26.25" customHeight="1">
      <c r="A10" s="300" t="s">
        <v>65</v>
      </c>
      <c r="B10" s="300"/>
      <c r="C10" s="300"/>
    </row>
    <row r="11" spans="1:6" ht="12.75" customHeight="1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>
      <c r="A13" s="43" t="s">
        <v>71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>
      <c r="A20" s="48" t="s">
        <v>84</v>
      </c>
      <c r="B20" s="317" t="s">
        <v>85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>
      <c r="A21" s="43" t="s">
        <v>86</v>
      </c>
      <c r="B21" s="298"/>
      <c r="C21" s="299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>
      <c r="A22" s="98" t="s">
        <v>87</v>
      </c>
      <c r="B22" s="319" t="s">
        <v>88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>
      <c r="A23" s="99"/>
      <c r="B23" s="321" t="s">
        <v>89</v>
      </c>
      <c r="C23" s="322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>
      <c r="A25" s="294"/>
      <c r="B25" s="310"/>
      <c r="C25" s="134" t="s">
        <v>92</v>
      </c>
      <c r="D25" s="80">
        <f>SUM(F25)</f>
        <v>0</v>
      </c>
      <c r="E25" s="100"/>
      <c r="F25" s="93"/>
    </row>
    <row r="26" spans="1:6" ht="17.25" customHeight="1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>
      <c r="A27" s="294"/>
      <c r="B27" s="310"/>
      <c r="C27" s="134" t="s">
        <v>92</v>
      </c>
      <c r="D27" s="80">
        <f t="shared" si="3"/>
        <v>0</v>
      </c>
      <c r="E27" s="92"/>
      <c r="F27" s="93"/>
    </row>
    <row r="28" spans="1:6" ht="17.25" customHeight="1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>
      <c r="A29" s="294"/>
      <c r="B29" s="310"/>
      <c r="C29" s="134" t="s">
        <v>92</v>
      </c>
      <c r="D29" s="80">
        <f t="shared" si="3"/>
        <v>0</v>
      </c>
      <c r="E29" s="92"/>
      <c r="F29" s="93"/>
    </row>
    <row r="30" spans="1:6" ht="17.25" customHeight="1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>
      <c r="A31" s="294"/>
      <c r="B31" s="310"/>
      <c r="C31" s="134" t="s">
        <v>92</v>
      </c>
      <c r="D31" s="80">
        <f t="shared" si="3"/>
        <v>0</v>
      </c>
      <c r="E31" s="92"/>
      <c r="F31" s="93"/>
    </row>
    <row r="32" spans="1:6" ht="17.25" customHeight="1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>
      <c r="A33" s="294"/>
      <c r="B33" s="316"/>
      <c r="C33" s="134" t="s">
        <v>92</v>
      </c>
      <c r="D33" s="80">
        <f>SUM(D25+D27+D29+D31)</f>
        <v>0</v>
      </c>
      <c r="E33" s="92"/>
      <c r="F33" s="92"/>
    </row>
    <row r="34" spans="1:6" ht="17.25" customHeight="1">
      <c r="A34" s="294"/>
      <c r="B34" s="309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>
      <c r="A35" s="294"/>
      <c r="B35" s="310"/>
      <c r="C35" s="134" t="s">
        <v>92</v>
      </c>
      <c r="D35" s="81">
        <f>SUM(F35)</f>
        <v>0</v>
      </c>
      <c r="E35" s="92"/>
      <c r="F35" s="93"/>
    </row>
    <row r="36" spans="1:6" ht="17.25" customHeight="1">
      <c r="A36" s="294"/>
      <c r="B36" s="309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>
      <c r="A37" s="295"/>
      <c r="B37" s="310"/>
      <c r="C37" s="134" t="s">
        <v>92</v>
      </c>
      <c r="D37" s="81">
        <f>SUM(F37)</f>
        <v>0</v>
      </c>
      <c r="E37" s="96"/>
      <c r="F37" s="97"/>
    </row>
    <row r="38" spans="1:6" ht="19.5" customHeight="1"/>
    <row r="39" spans="1:6">
      <c r="A39" s="42" t="s">
        <v>99</v>
      </c>
      <c r="B39" s="11"/>
    </row>
    <row r="40" spans="1:6" ht="12.75" customHeight="1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>
      <c r="A41" s="297"/>
      <c r="B41" s="324"/>
      <c r="C41" s="295" t="s">
        <v>70</v>
      </c>
      <c r="D41" s="297" t="s">
        <v>70</v>
      </c>
    </row>
    <row r="42" spans="1:6" ht="16.5" customHeight="1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>
      <c r="A43" s="90" t="s">
        <v>102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>
      <c r="A46" s="90" t="s">
        <v>105</v>
      </c>
      <c r="B46" s="79">
        <f t="shared" si="4"/>
        <v>13</v>
      </c>
      <c r="C46" s="83">
        <f>BM18A!D148</f>
        <v>0</v>
      </c>
      <c r="D46" s="83">
        <f>BM18A!E148</f>
        <v>13</v>
      </c>
    </row>
    <row r="47" spans="1:6" ht="16.5" customHeight="1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>
      <c r="A50" s="90" t="s">
        <v>109</v>
      </c>
      <c r="B50" s="90">
        <f t="shared" si="4"/>
        <v>2</v>
      </c>
      <c r="C50" s="79">
        <f>BM18A!D177</f>
        <v>0</v>
      </c>
      <c r="D50" s="79">
        <f>BM18A!E177</f>
        <v>2</v>
      </c>
    </row>
    <row r="51" spans="1:4" ht="16.5" customHeight="1">
      <c r="A51" s="223" t="s">
        <v>110</v>
      </c>
      <c r="B51" s="90">
        <f t="shared" si="4"/>
        <v>62</v>
      </c>
      <c r="C51" s="81">
        <f>BM18A!D206</f>
        <v>0</v>
      </c>
      <c r="D51" s="81">
        <f>BM18A!E206</f>
        <v>62</v>
      </c>
    </row>
    <row r="52" spans="1:4" ht="17.25" customHeight="1">
      <c r="A52" s="91" t="s">
        <v>67</v>
      </c>
      <c r="B52" s="77">
        <f>SUM(B42:B51)</f>
        <v>77</v>
      </c>
      <c r="C52" s="77">
        <f>SUM(C42:C51)</f>
        <v>0</v>
      </c>
      <c r="D52" s="77">
        <f>SUM(D42:D51)</f>
        <v>77</v>
      </c>
    </row>
    <row r="53" spans="1:4" ht="17.25" customHeight="1">
      <c r="A53" s="117"/>
      <c r="B53" s="118"/>
      <c r="C53" s="118"/>
      <c r="D53" s="118"/>
    </row>
    <row r="54" spans="1:4" ht="24.75" customHeight="1">
      <c r="A54" s="102" t="s">
        <v>111</v>
      </c>
    </row>
    <row r="55" spans="1:4">
      <c r="A55" s="332" t="s">
        <v>112</v>
      </c>
      <c r="B55" s="330" t="s">
        <v>67</v>
      </c>
    </row>
    <row r="56" spans="1:4">
      <c r="A56" s="333"/>
      <c r="B56" s="331"/>
    </row>
    <row r="57" spans="1:4" ht="17.25" customHeight="1">
      <c r="A57" s="116" t="s">
        <v>113</v>
      </c>
      <c r="B57" s="207"/>
    </row>
    <row r="58" spans="1:4" ht="27.75" customHeight="1">
      <c r="A58" s="36" t="s">
        <v>114</v>
      </c>
      <c r="D58" s="52"/>
    </row>
    <row r="59" spans="1:4" ht="32.25" customHeight="1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>
      <c r="A60" s="325" t="s">
        <v>118</v>
      </c>
      <c r="B60" s="208" t="s">
        <v>119</v>
      </c>
      <c r="C60" s="87"/>
      <c r="D60" s="84"/>
    </row>
    <row r="61" spans="1:4" ht="16.5" customHeight="1">
      <c r="A61" s="326"/>
      <c r="B61" s="12" t="s">
        <v>120</v>
      </c>
      <c r="C61" s="88"/>
      <c r="D61" s="85"/>
    </row>
    <row r="62" spans="1:4" ht="16.5" customHeight="1">
      <c r="A62" s="327"/>
      <c r="B62" s="13" t="s">
        <v>121</v>
      </c>
      <c r="C62" s="89"/>
      <c r="D62" s="86"/>
    </row>
    <row r="96" spans="1:1" hidden="1">
      <c r="A96" s="215">
        <f>SUM(D13:D37,B42:B52,B57,C60:C62)</f>
        <v>154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144" zoomScaleNormal="100" workbookViewId="0">
      <selection activeCell="E215" sqref="E215"/>
    </sheetView>
  </sheetViews>
  <sheetFormatPr defaultColWidth="11.42578125" defaultRowHeight="14.1" customHeight="1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>
      <c r="A1" s="50" t="s">
        <v>63</v>
      </c>
      <c r="B1" s="122"/>
      <c r="U1" s="54"/>
    </row>
    <row r="2" spans="1:21" s="53" customFormat="1" ht="14.1" customHeight="1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>
      <c r="A3" s="50" t="str">
        <f>CONCATENATE("ESTABLECIMIENTO/ESTRATEGIA: ",NOMBRE!B3,"  ","( ",NOMBRE!C3,NOMBRE!D3,NOMBRE!E3,NOMBRE!F3,NOMBRE!G3,NOMBRE!H3," )")</f>
        <v>ESTABLECIMIENTO/ESTRATEGIA: POSTA DE SALUD RURAL COLLIMALLIN  ( 121460 )</v>
      </c>
      <c r="B3" s="122"/>
      <c r="U3" s="54"/>
    </row>
    <row r="4" spans="1:21" s="53" customFormat="1" ht="14.1" customHeight="1">
      <c r="A4" s="50" t="str">
        <f>CONCATENATE("MES: ",NOMBRE!B6,"  ","( ",NOMBRE!C6,NOMBRE!D6," )")</f>
        <v>MES: NOVIEMBRE  ( 11 )</v>
      </c>
      <c r="B4" s="122"/>
      <c r="U4" s="54"/>
    </row>
    <row r="5" spans="1:21" s="53" customFormat="1" ht="14.1" customHeight="1">
      <c r="A5" s="50" t="str">
        <f>CONCATENATE("AÑO: ",NOMBRE!B7)</f>
        <v>AÑO: 2025</v>
      </c>
      <c r="B5" s="122"/>
      <c r="U5" s="54"/>
    </row>
    <row r="6" spans="1:21" s="53" customFormat="1" ht="14.1" customHeight="1">
      <c r="A6" s="361"/>
      <c r="B6" s="361"/>
      <c r="C6" s="361"/>
      <c r="U6" s="54"/>
    </row>
    <row r="7" spans="1:21" s="53" customFormat="1" ht="36.75" customHeight="1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>
      <c r="A8" s="55"/>
      <c r="B8" s="119"/>
      <c r="U8" s="54"/>
    </row>
    <row r="9" spans="1:21" s="53" customFormat="1" ht="14.1" customHeight="1">
      <c r="A9" s="123" t="s">
        <v>65</v>
      </c>
      <c r="B9" s="120"/>
      <c r="U9" s="54"/>
    </row>
    <row r="10" spans="1:21" ht="14.1" customHeight="1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>
      <c r="A11" s="368"/>
      <c r="B11" s="352"/>
      <c r="C11" s="342"/>
      <c r="D11" s="352"/>
      <c r="E11" s="358"/>
      <c r="F11" s="352"/>
    </row>
    <row r="12" spans="1:21" ht="15" customHeight="1">
      <c r="A12" s="364" t="s">
        <v>124</v>
      </c>
      <c r="B12" s="364"/>
      <c r="C12" s="229"/>
      <c r="D12" s="230"/>
      <c r="E12" s="230"/>
      <c r="F12" s="231"/>
    </row>
    <row r="13" spans="1:21" ht="15" customHeight="1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>
      <c r="A21" s="162"/>
      <c r="B21" s="162"/>
      <c r="C21" s="163"/>
      <c r="D21" s="163"/>
      <c r="E21" s="163"/>
      <c r="F21" s="163"/>
    </row>
    <row r="22" spans="1:6" ht="15" customHeight="1">
      <c r="A22" s="364" t="s">
        <v>139</v>
      </c>
      <c r="B22" s="364"/>
      <c r="C22" s="365"/>
      <c r="D22" s="366"/>
      <c r="E22" s="366"/>
      <c r="F22" s="367"/>
    </row>
    <row r="23" spans="1:6" ht="15" customHeight="1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0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9.9499999999999993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>
      <c r="A44" s="130"/>
      <c r="B44" s="130"/>
      <c r="C44" s="135"/>
      <c r="D44" s="135"/>
      <c r="E44" s="135"/>
      <c r="F44" s="135"/>
    </row>
    <row r="45" spans="1:6" ht="15" customHeight="1">
      <c r="A45" s="338" t="s">
        <v>180</v>
      </c>
      <c r="B45" s="339"/>
      <c r="C45" s="370"/>
      <c r="D45" s="370"/>
      <c r="E45" s="370"/>
      <c r="F45" s="371"/>
    </row>
    <row r="46" spans="1:6" ht="15" customHeight="1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>
      <c r="A50" s="130"/>
      <c r="B50" s="130"/>
      <c r="C50" s="135"/>
      <c r="D50" s="135"/>
      <c r="E50" s="135"/>
      <c r="F50" s="135"/>
    </row>
    <row r="51" spans="1:6" ht="15" customHeight="1">
      <c r="A51" s="338" t="s">
        <v>79</v>
      </c>
      <c r="B51" s="339"/>
      <c r="C51" s="372"/>
      <c r="D51" s="372"/>
      <c r="E51" s="372"/>
      <c r="F51" s="373"/>
    </row>
    <row r="52" spans="1:6" ht="15" customHeight="1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>
      <c r="A55" s="130"/>
      <c r="B55" s="130"/>
      <c r="C55" s="135"/>
      <c r="D55" s="135"/>
      <c r="E55" s="135"/>
      <c r="F55" s="135"/>
    </row>
    <row r="56" spans="1:6" ht="15" customHeight="1">
      <c r="A56" s="338" t="s">
        <v>81</v>
      </c>
      <c r="B56" s="339"/>
      <c r="C56" s="374"/>
      <c r="D56" s="372"/>
      <c r="E56" s="372"/>
      <c r="F56" s="373"/>
    </row>
    <row r="57" spans="1:6" ht="15" customHeight="1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0.100000000000001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>
      <c r="A74" s="217"/>
      <c r="B74" s="217"/>
      <c r="C74" s="160"/>
      <c r="D74" s="160"/>
      <c r="E74" s="160"/>
      <c r="F74" s="160"/>
    </row>
    <row r="75" spans="1:6" ht="15" customHeight="1">
      <c r="A75" s="375" t="s">
        <v>223</v>
      </c>
      <c r="B75" s="376"/>
      <c r="C75" s="220"/>
      <c r="D75" s="221"/>
      <c r="E75" s="221"/>
      <c r="F75" s="222"/>
    </row>
    <row r="76" spans="1:6" ht="15" customHeight="1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>
      <c r="A79" s="130"/>
      <c r="B79" s="130"/>
      <c r="C79" s="135"/>
      <c r="D79" s="135"/>
      <c r="E79" s="135"/>
      <c r="F79" s="135"/>
    </row>
    <row r="80" spans="1:6" ht="15" customHeight="1">
      <c r="A80" s="338" t="s">
        <v>228</v>
      </c>
      <c r="B80" s="340"/>
      <c r="C80" s="137"/>
      <c r="D80" s="125"/>
      <c r="E80" s="125"/>
      <c r="F80" s="136"/>
    </row>
    <row r="81" spans="1:6" ht="15" customHeight="1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0.100000000000001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>
      <c r="A88" s="345" t="s">
        <v>67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>
      <c r="A89" s="345" t="s">
        <v>243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>
      <c r="A90" s="130"/>
      <c r="B90" s="130"/>
      <c r="C90" s="135"/>
      <c r="D90" s="135"/>
      <c r="E90" s="135"/>
      <c r="F90" s="135"/>
    </row>
    <row r="91" spans="1:6" ht="15" customHeight="1">
      <c r="A91" s="359" t="s">
        <v>244</v>
      </c>
      <c r="B91" s="360"/>
      <c r="C91" s="349"/>
      <c r="D91" s="349"/>
      <c r="E91" s="349"/>
      <c r="F91" s="350"/>
    </row>
    <row r="92" spans="1:6" ht="15" customHeight="1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>
      <c r="A114" s="57" t="s">
        <v>289</v>
      </c>
      <c r="B114" s="121" t="s">
        <v>290</v>
      </c>
      <c r="C114" s="64">
        <f t="shared" ref="C114:C118" si="12">SUM(D114:E114)</f>
        <v>0</v>
      </c>
      <c r="D114" s="65"/>
      <c r="E114" s="114"/>
      <c r="F114" s="65"/>
    </row>
    <row r="115" spans="1:6" ht="15" customHeight="1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>
      <c r="A119" s="142"/>
      <c r="B119" s="138"/>
      <c r="C119" s="139"/>
      <c r="D119" s="140"/>
      <c r="E119" s="140"/>
      <c r="F119" s="140"/>
    </row>
    <row r="120" spans="1:6" ht="15" customHeight="1">
      <c r="A120" s="343" t="s">
        <v>299</v>
      </c>
      <c r="B120" s="344"/>
      <c r="C120" s="344"/>
      <c r="D120" s="344"/>
      <c r="E120" s="344"/>
      <c r="F120" s="344"/>
    </row>
    <row r="121" spans="1:6" ht="14.1" customHeight="1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>
      <c r="A122" s="352"/>
      <c r="B122" s="356"/>
      <c r="C122" s="352"/>
      <c r="D122" s="352"/>
      <c r="E122" s="358"/>
      <c r="F122" s="342"/>
    </row>
    <row r="123" spans="1:6" ht="15" customHeight="1">
      <c r="A123" s="338" t="s">
        <v>300</v>
      </c>
      <c r="B123" s="339"/>
      <c r="C123" s="235"/>
      <c r="D123" s="126"/>
      <c r="E123" s="126"/>
      <c r="F123" s="231"/>
    </row>
    <row r="124" spans="1:6" ht="15" customHeight="1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>
      <c r="A129" s="130"/>
      <c r="B129" s="130"/>
      <c r="C129" s="232"/>
      <c r="D129" s="232"/>
      <c r="E129" s="232"/>
    </row>
    <row r="130" spans="1:6" ht="15" customHeight="1">
      <c r="A130" s="338" t="s">
        <v>305</v>
      </c>
      <c r="B130" s="339"/>
      <c r="C130" s="334"/>
      <c r="D130" s="335"/>
      <c r="E130" s="335"/>
      <c r="F130" s="336"/>
    </row>
    <row r="131" spans="1:6" ht="15" customHeight="1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>
      <c r="A140" s="345" t="s">
        <v>67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>
      <c r="A141" s="130"/>
      <c r="B141" s="130"/>
      <c r="C141" s="132"/>
      <c r="D141" s="135"/>
      <c r="E141" s="135"/>
    </row>
    <row r="142" spans="1:6" ht="15" customHeight="1">
      <c r="A142" s="338" t="s">
        <v>315</v>
      </c>
      <c r="B142" s="339"/>
      <c r="C142" s="334"/>
      <c r="D142" s="335"/>
      <c r="E142" s="335"/>
      <c r="F142" s="336"/>
    </row>
    <row r="143" spans="1:6" ht="15" customHeight="1">
      <c r="A143" s="59" t="s">
        <v>316</v>
      </c>
      <c r="B143" s="128" t="s">
        <v>317</v>
      </c>
      <c r="C143" s="70">
        <f>SUM(D143:E143)</f>
        <v>8</v>
      </c>
      <c r="D143" s="194"/>
      <c r="E143" s="247">
        <v>8</v>
      </c>
      <c r="F143" s="257"/>
    </row>
    <row r="144" spans="1:6" ht="15" customHeight="1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>
      <c r="A145" s="60"/>
      <c r="B145" s="129" t="s">
        <v>320</v>
      </c>
      <c r="C145" s="73">
        <f>SUM(D145:E145)</f>
        <v>5</v>
      </c>
      <c r="D145" s="196"/>
      <c r="E145" s="261">
        <v>5</v>
      </c>
      <c r="F145" s="246"/>
    </row>
    <row r="146" spans="1:6" ht="15" customHeight="1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>
      <c r="A148" s="345" t="s">
        <v>67</v>
      </c>
      <c r="B148" s="346"/>
      <c r="C148" s="159">
        <f>SUM(C143:C147)</f>
        <v>13</v>
      </c>
      <c r="D148" s="159">
        <f t="shared" ref="D148" si="16">SUM(D143:D147)</f>
        <v>0</v>
      </c>
      <c r="E148" s="263">
        <f>SUM(E143:E147)</f>
        <v>13</v>
      </c>
      <c r="F148" s="259">
        <f>SUM(F143:F147)</f>
        <v>0</v>
      </c>
    </row>
    <row r="149" spans="1:6" ht="15" customHeight="1">
      <c r="A149" s="130"/>
      <c r="B149" s="337"/>
      <c r="C149" s="337"/>
      <c r="D149" s="337"/>
      <c r="E149" s="337"/>
      <c r="F149" s="337"/>
    </row>
    <row r="150" spans="1:6" ht="15" customHeight="1">
      <c r="A150" s="353" t="s">
        <v>323</v>
      </c>
      <c r="B150" s="354"/>
      <c r="C150" s="345"/>
      <c r="D150" s="347"/>
      <c r="E150" s="347"/>
      <c r="F150" s="346"/>
    </row>
    <row r="151" spans="1:6" ht="15" customHeight="1">
      <c r="A151" s="197">
        <v>1707001</v>
      </c>
      <c r="B151" s="198" t="s">
        <v>324</v>
      </c>
      <c r="C151" s="74">
        <f>SUM(D151:E151)</f>
        <v>0</v>
      </c>
      <c r="D151" s="237"/>
      <c r="E151" s="113"/>
      <c r="F151" s="257"/>
    </row>
    <row r="152" spans="1:6" ht="15" customHeight="1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/>
      <c r="F152" s="250"/>
    </row>
    <row r="153" spans="1:6" ht="15" customHeight="1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>
      <c r="A154" s="61">
        <v>1707030</v>
      </c>
      <c r="B154" s="129" t="s">
        <v>327</v>
      </c>
      <c r="C154" s="131">
        <f t="shared" si="17"/>
        <v>0</v>
      </c>
      <c r="D154" s="214"/>
      <c r="E154" s="115"/>
      <c r="F154" s="250"/>
    </row>
    <row r="155" spans="1:6" ht="15" customHeight="1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>
      <c r="A156" s="62" t="s">
        <v>330</v>
      </c>
      <c r="B156" s="121" t="s">
        <v>331</v>
      </c>
      <c r="C156" s="188">
        <f>SUM(D156:E156)</f>
        <v>0</v>
      </c>
      <c r="D156" s="210"/>
      <c r="E156" s="255"/>
      <c r="F156" s="250"/>
    </row>
    <row r="157" spans="1:6" ht="15" customHeight="1">
      <c r="A157" s="62" t="s">
        <v>332</v>
      </c>
      <c r="B157" s="121" t="s">
        <v>333</v>
      </c>
      <c r="C157" s="238">
        <f>SUM(D157:E157)</f>
        <v>0</v>
      </c>
      <c r="D157" s="211"/>
      <c r="E157" s="262"/>
      <c r="F157" s="258"/>
    </row>
    <row r="158" spans="1:6" ht="15" customHeight="1">
      <c r="A158" s="345" t="s">
        <v>67</v>
      </c>
      <c r="B158" s="34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>
      <c r="A159" s="130"/>
      <c r="B159" s="130"/>
      <c r="C159" s="132"/>
      <c r="D159" s="135"/>
      <c r="E159" s="135"/>
    </row>
    <row r="160" spans="1:6" ht="15" customHeight="1">
      <c r="A160" s="338" t="s">
        <v>334</v>
      </c>
      <c r="B160" s="339"/>
      <c r="C160" s="345"/>
      <c r="D160" s="347"/>
      <c r="E160" s="347"/>
      <c r="F160" s="346"/>
    </row>
    <row r="161" spans="1:6" ht="15" customHeight="1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>
      <c r="A165" s="130"/>
      <c r="B165" s="130"/>
      <c r="C165" s="132"/>
      <c r="D165" s="135"/>
      <c r="E165" s="135"/>
    </row>
    <row r="166" spans="1:6" ht="15" customHeight="1">
      <c r="A166" s="338" t="s">
        <v>339</v>
      </c>
      <c r="B166" s="339"/>
      <c r="C166" s="345"/>
      <c r="D166" s="347"/>
      <c r="E166" s="347"/>
      <c r="F166" s="346"/>
    </row>
    <row r="167" spans="1:6" ht="15" customHeight="1">
      <c r="A167" s="61"/>
      <c r="B167" s="121" t="s">
        <v>340</v>
      </c>
      <c r="C167" s="241">
        <f>SUM(D167:E167)</f>
        <v>0</v>
      </c>
      <c r="D167" s="240"/>
      <c r="E167" s="266"/>
      <c r="F167" s="264"/>
    </row>
    <row r="168" spans="1:6" ht="15" customHeight="1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>
      <c r="A169" s="345" t="s">
        <v>67</v>
      </c>
      <c r="B169" s="34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>
      <c r="A170" s="348"/>
      <c r="B170" s="348"/>
      <c r="C170" s="348"/>
      <c r="D170" s="348"/>
      <c r="E170" s="348"/>
      <c r="F170" s="348"/>
    </row>
    <row r="171" spans="1:6" ht="15" customHeight="1">
      <c r="A171" s="338" t="s">
        <v>342</v>
      </c>
      <c r="B171" s="339"/>
      <c r="C171" s="243"/>
      <c r="D171" s="193"/>
      <c r="E171" s="193"/>
      <c r="F171" s="192"/>
    </row>
    <row r="172" spans="1:6" ht="15" customHeight="1">
      <c r="A172" s="60"/>
      <c r="B172" s="128" t="s">
        <v>343</v>
      </c>
      <c r="C172" s="204">
        <f>SUM(D172:E172)</f>
        <v>0</v>
      </c>
      <c r="D172" s="242"/>
      <c r="E172" s="113"/>
      <c r="F172" s="264"/>
    </row>
    <row r="173" spans="1:6" ht="15" customHeight="1">
      <c r="A173" s="60"/>
      <c r="B173" s="121" t="s">
        <v>344</v>
      </c>
      <c r="C173" s="188">
        <f>SUM(D173:E173)</f>
        <v>0</v>
      </c>
      <c r="D173" s="65"/>
      <c r="E173" s="114"/>
      <c r="F173" s="246"/>
    </row>
    <row r="174" spans="1:6" ht="15" customHeight="1">
      <c r="A174" s="60">
        <v>2001015</v>
      </c>
      <c r="B174" s="198" t="s">
        <v>345</v>
      </c>
      <c r="C174" s="75">
        <f>SUM(D174:E174)</f>
        <v>0</v>
      </c>
      <c r="D174" s="65"/>
      <c r="E174" s="114"/>
      <c r="F174" s="246"/>
    </row>
    <row r="175" spans="1:6" ht="15" customHeight="1">
      <c r="A175" s="60"/>
      <c r="B175" s="121" t="s">
        <v>346</v>
      </c>
      <c r="C175" s="75">
        <f t="shared" ref="C175:C176" si="19">SUM(D175:E175)</f>
        <v>2</v>
      </c>
      <c r="D175" s="65"/>
      <c r="E175" s="114">
        <v>2</v>
      </c>
      <c r="F175" s="246"/>
    </row>
    <row r="176" spans="1:6" ht="15" customHeight="1">
      <c r="A176" s="200"/>
      <c r="B176" s="198" t="s">
        <v>347</v>
      </c>
      <c r="C176" s="75">
        <f t="shared" si="19"/>
        <v>0</v>
      </c>
      <c r="D176" s="201"/>
      <c r="E176" s="270"/>
      <c r="F176" s="246"/>
    </row>
    <row r="177" spans="1:6" ht="15" customHeight="1">
      <c r="A177" s="345" t="s">
        <v>67</v>
      </c>
      <c r="B177" s="346"/>
      <c r="C177" s="155">
        <f>SUM(C172:C176)</f>
        <v>2</v>
      </c>
      <c r="D177" s="155">
        <f t="shared" ref="D177:E177" si="20">SUM(D172:D176)</f>
        <v>0</v>
      </c>
      <c r="E177" s="271">
        <f t="shared" si="20"/>
        <v>2</v>
      </c>
      <c r="F177" s="269"/>
    </row>
    <row r="178" spans="1:6" ht="15" customHeight="1">
      <c r="A178" s="143"/>
      <c r="B178" s="144"/>
      <c r="C178" s="244"/>
      <c r="D178" s="245"/>
      <c r="E178" s="245"/>
    </row>
    <row r="179" spans="1:6" ht="15" customHeight="1">
      <c r="A179" s="338" t="s">
        <v>348</v>
      </c>
      <c r="B179" s="339"/>
      <c r="C179" s="338"/>
      <c r="D179" s="339"/>
      <c r="E179" s="339"/>
      <c r="F179" s="340"/>
    </row>
    <row r="180" spans="1:6" ht="15" customHeight="1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>
      <c r="A187" s="337"/>
      <c r="B187" s="337"/>
      <c r="C187" s="337"/>
      <c r="D187" s="337"/>
      <c r="E187" s="337"/>
      <c r="F187" s="337"/>
    </row>
    <row r="188" spans="1:6" ht="15" customHeight="1">
      <c r="A188" s="338" t="s">
        <v>110</v>
      </c>
      <c r="B188" s="339"/>
      <c r="C188" s="334"/>
      <c r="D188" s="335"/>
      <c r="E188" s="335"/>
      <c r="F188" s="336"/>
    </row>
    <row r="189" spans="1:6" ht="15" customHeight="1">
      <c r="A189" s="62"/>
      <c r="B189" s="128" t="s">
        <v>355</v>
      </c>
      <c r="C189" s="188">
        <f t="shared" ref="C189:C194" si="22">SUM(D189:E189)</f>
        <v>23</v>
      </c>
      <c r="D189" s="225"/>
      <c r="E189" s="266">
        <v>23</v>
      </c>
      <c r="F189" s="272"/>
    </row>
    <row r="190" spans="1:6" ht="15" customHeight="1">
      <c r="A190" s="202"/>
      <c r="B190" s="121" t="s">
        <v>356</v>
      </c>
      <c r="C190" s="188">
        <f t="shared" si="22"/>
        <v>0</v>
      </c>
      <c r="D190" s="226"/>
      <c r="E190" s="255"/>
      <c r="F190" s="246"/>
    </row>
    <row r="191" spans="1:6" ht="15" customHeight="1">
      <c r="A191" s="60" t="s">
        <v>357</v>
      </c>
      <c r="B191" s="121" t="s">
        <v>358</v>
      </c>
      <c r="C191" s="188">
        <f t="shared" si="22"/>
        <v>6</v>
      </c>
      <c r="D191" s="210"/>
      <c r="E191" s="255">
        <v>6</v>
      </c>
      <c r="F191" s="246"/>
    </row>
    <row r="192" spans="1:6" ht="15" customHeight="1">
      <c r="A192" s="62"/>
      <c r="B192" s="129" t="s">
        <v>359</v>
      </c>
      <c r="C192" s="188">
        <f t="shared" si="22"/>
        <v>0</v>
      </c>
      <c r="D192" s="210"/>
      <c r="E192" s="255"/>
      <c r="F192" s="246"/>
    </row>
    <row r="193" spans="1:6" ht="15" customHeight="1">
      <c r="A193" s="62"/>
      <c r="B193" s="129" t="s">
        <v>360</v>
      </c>
      <c r="C193" s="188">
        <f t="shared" si="22"/>
        <v>0</v>
      </c>
      <c r="D193" s="210"/>
      <c r="E193" s="255"/>
      <c r="F193" s="246"/>
    </row>
    <row r="194" spans="1:6" ht="15" customHeight="1">
      <c r="A194" s="203"/>
      <c r="B194" s="129" t="s">
        <v>361</v>
      </c>
      <c r="C194" s="199">
        <f t="shared" si="22"/>
        <v>0</v>
      </c>
      <c r="D194" s="226"/>
      <c r="E194" s="277"/>
      <c r="F194" s="246"/>
    </row>
    <row r="195" spans="1:6" ht="15" customHeight="1">
      <c r="A195" s="62"/>
      <c r="B195" s="129" t="s">
        <v>362</v>
      </c>
      <c r="C195" s="188">
        <f t="shared" ref="C195:C205" si="23">SUM(D195:E195)</f>
        <v>0</v>
      </c>
      <c r="D195" s="210"/>
      <c r="E195" s="255"/>
      <c r="F195" s="246"/>
    </row>
    <row r="196" spans="1:6" ht="15" customHeight="1">
      <c r="A196" s="236" t="s">
        <v>363</v>
      </c>
      <c r="B196" s="121" t="s">
        <v>364</v>
      </c>
      <c r="C196" s="188">
        <f t="shared" si="23"/>
        <v>0</v>
      </c>
      <c r="D196" s="210"/>
      <c r="E196" s="255"/>
      <c r="F196" s="246"/>
    </row>
    <row r="197" spans="1:6" ht="15" customHeight="1">
      <c r="A197" s="62" t="s">
        <v>365</v>
      </c>
      <c r="B197" s="121" t="s">
        <v>366</v>
      </c>
      <c r="C197" s="188">
        <f t="shared" si="23"/>
        <v>0</v>
      </c>
      <c r="D197" s="210"/>
      <c r="E197" s="255"/>
      <c r="F197" s="246"/>
    </row>
    <row r="198" spans="1:6" ht="15" customHeight="1">
      <c r="A198" s="62" t="s">
        <v>367</v>
      </c>
      <c r="B198" s="121" t="s">
        <v>368</v>
      </c>
      <c r="C198" s="188">
        <f t="shared" si="23"/>
        <v>0</v>
      </c>
      <c r="D198" s="210"/>
      <c r="E198" s="255"/>
      <c r="F198" s="246"/>
    </row>
    <row r="199" spans="1:6" ht="15" customHeight="1">
      <c r="A199" s="62" t="s">
        <v>369</v>
      </c>
      <c r="B199" s="121" t="s">
        <v>370</v>
      </c>
      <c r="C199" s="188">
        <f t="shared" si="23"/>
        <v>0</v>
      </c>
      <c r="D199" s="210"/>
      <c r="E199" s="255"/>
      <c r="F199" s="246"/>
    </row>
    <row r="200" spans="1:6" ht="15" customHeight="1">
      <c r="A200" s="62" t="s">
        <v>371</v>
      </c>
      <c r="B200" s="121" t="s">
        <v>372</v>
      </c>
      <c r="C200" s="188">
        <f t="shared" si="23"/>
        <v>0</v>
      </c>
      <c r="D200" s="210"/>
      <c r="E200" s="255"/>
      <c r="F200" s="246"/>
    </row>
    <row r="201" spans="1:6" ht="15" customHeight="1">
      <c r="A201" s="62" t="s">
        <v>373</v>
      </c>
      <c r="B201" s="121" t="s">
        <v>374</v>
      </c>
      <c r="C201" s="188">
        <f t="shared" si="23"/>
        <v>0</v>
      </c>
      <c r="D201" s="210"/>
      <c r="E201" s="255"/>
      <c r="F201" s="246"/>
    </row>
    <row r="202" spans="1:6" ht="15" customHeight="1">
      <c r="A202" s="62" t="s">
        <v>375</v>
      </c>
      <c r="B202" s="121" t="s">
        <v>376</v>
      </c>
      <c r="C202" s="188">
        <f t="shared" si="23"/>
        <v>12</v>
      </c>
      <c r="D202" s="210"/>
      <c r="E202" s="255">
        <v>12</v>
      </c>
      <c r="F202" s="246"/>
    </row>
    <row r="203" spans="1:6" ht="15" customHeight="1">
      <c r="A203" s="62" t="s">
        <v>377</v>
      </c>
      <c r="B203" s="121" t="s">
        <v>378</v>
      </c>
      <c r="C203" s="188">
        <f t="shared" si="23"/>
        <v>0</v>
      </c>
      <c r="D203" s="210"/>
      <c r="E203" s="255"/>
      <c r="F203" s="246"/>
    </row>
    <row r="204" spans="1:6" ht="15" customHeight="1">
      <c r="A204" s="62" t="s">
        <v>379</v>
      </c>
      <c r="B204" s="121" t="s">
        <v>380</v>
      </c>
      <c r="C204" s="188">
        <f t="shared" si="23"/>
        <v>21</v>
      </c>
      <c r="D204" s="210"/>
      <c r="E204" s="255">
        <v>21</v>
      </c>
      <c r="F204" s="250"/>
    </row>
    <row r="205" spans="1:6" ht="15" customHeight="1">
      <c r="A205" s="62" t="s">
        <v>381</v>
      </c>
      <c r="B205" s="185" t="s">
        <v>382</v>
      </c>
      <c r="C205" s="188">
        <f t="shared" si="23"/>
        <v>0</v>
      </c>
      <c r="D205" s="211"/>
      <c r="E205" s="255"/>
      <c r="F205" s="258"/>
    </row>
    <row r="206" spans="1:6" ht="15" customHeight="1">
      <c r="A206" s="345" t="s">
        <v>67</v>
      </c>
      <c r="B206" s="346"/>
      <c r="C206" s="72">
        <f>SUM(C189:C205)</f>
        <v>62</v>
      </c>
      <c r="D206" s="212">
        <f t="shared" ref="D206:F206" si="24">SUM(D189:D205)</f>
        <v>0</v>
      </c>
      <c r="E206" s="256">
        <f t="shared" si="24"/>
        <v>62</v>
      </c>
      <c r="F206" s="252">
        <f t="shared" si="24"/>
        <v>0</v>
      </c>
    </row>
    <row r="207" spans="1:6" ht="15" customHeight="1">
      <c r="A207" s="130"/>
      <c r="B207" s="130"/>
      <c r="C207" s="132"/>
      <c r="D207" s="132"/>
      <c r="E207" s="132"/>
      <c r="F207" s="140"/>
    </row>
    <row r="208" spans="1:6" ht="14.1" customHeight="1">
      <c r="F208" s="140"/>
    </row>
    <row r="209" spans="6:6" ht="14.1" customHeight="1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defaultColWidth="11.42578125" defaultRowHeight="15.6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/>
    <row r="2" spans="2:4" s="18" customFormat="1" ht="29.25" customHeight="1">
      <c r="B2" s="15" t="s">
        <v>383</v>
      </c>
      <c r="C2" s="16" t="s">
        <v>384</v>
      </c>
      <c r="D2" s="17" t="s">
        <v>385</v>
      </c>
    </row>
    <row r="3" spans="2:4" ht="19.5" customHeight="1">
      <c r="B3" s="25" t="s">
        <v>386</v>
      </c>
      <c r="C3" s="24" t="s">
        <v>387</v>
      </c>
      <c r="D3" s="19">
        <f>+NOMBRE!AG2</f>
        <v>0</v>
      </c>
    </row>
    <row r="4" spans="2:4" ht="19.5" customHeight="1">
      <c r="B4" s="25" t="s">
        <v>386</v>
      </c>
      <c r="C4" s="24" t="s">
        <v>388</v>
      </c>
      <c r="D4" s="19">
        <f>+NOMBRE!AG3</f>
        <v>0</v>
      </c>
    </row>
    <row r="5" spans="2:4" ht="19.5" customHeight="1">
      <c r="B5" s="25" t="s">
        <v>386</v>
      </c>
      <c r="C5" s="24" t="s">
        <v>389</v>
      </c>
      <c r="D5" s="19">
        <f>+NOMBRE!AG6</f>
        <v>0</v>
      </c>
    </row>
    <row r="6" spans="2:4" ht="31.5" customHeight="1" thickBot="1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>
      <c r="B7" s="20"/>
      <c r="C7" s="21" t="s">
        <v>392</v>
      </c>
      <c r="D7" s="22">
        <f>SUM(D3:D6)</f>
        <v>0</v>
      </c>
    </row>
    <row r="8" spans="2:4" ht="14.25" customHeight="1"/>
    <row r="9" spans="2:4" ht="14.25" customHeight="1"/>
    <row r="10" spans="2:4" ht="14.25" customHeight="1"/>
    <row r="11" spans="2:4" ht="14.25" customHeight="1">
      <c r="B11" s="23" t="s">
        <v>393</v>
      </c>
      <c r="C11" s="23"/>
    </row>
    <row r="12" spans="2:4" ht="14.25" customHeight="1">
      <c r="B12" s="23" t="b">
        <f>ISBLANK(NOMBRE!B2)</f>
        <v>0</v>
      </c>
      <c r="C12" s="23"/>
    </row>
    <row r="13" spans="2:4" ht="14.25" customHeight="1"/>
    <row r="78" spans="4:4" hidden="1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defaultColWidth="11.42578125" defaultRowHeight="12.6"/>
  <cols>
    <col min="2" max="2" width="50.28515625" customWidth="1"/>
    <col min="3" max="4" width="6.7109375" customWidth="1"/>
  </cols>
  <sheetData>
    <row r="1" spans="1:14" ht="37.5" customHeight="1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>
      <c r="A2" s="150" t="str">
        <f>CONCATENATE("ESTABLECIMIENTO: ",NOMBRE!B3," - ",NOMBRE!C3,NOMBRE!D3,NOMBRE!E3,NOMBRE!F3,NOMBRE!G3,NOMBRE!H3,NOMBRE!I3," 
  "," / MES:  ",NOMBRE!B6,"  / AÑO:  ",NOMBRE!B7)</f>
        <v>ESTABLECIMIENTO: POSTA DE SALUD RURAL COLLIMALLIN - 121460 
   / MES:  NOVIEMBRE  / AÑO:  2025</v>
      </c>
    </row>
    <row r="3" spans="1:14" ht="20.25" customHeight="1"/>
    <row r="4" spans="1:14" ht="22.5" customHeight="1"/>
    <row r="5" spans="1:14" ht="49.5" customHeight="1">
      <c r="B5" s="153" t="s">
        <v>395</v>
      </c>
      <c r="E5" s="147"/>
      <c r="F5" s="148"/>
      <c r="G5" s="148"/>
      <c r="H5" s="149"/>
    </row>
    <row r="6" spans="1:14" ht="27.75" customHeight="1">
      <c r="B6" s="154" t="s">
        <v>396</v>
      </c>
    </row>
    <row r="7" spans="1:14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393700</xdr:colOff>
                <xdr:row>4</xdr:row>
                <xdr:rowOff>95250</xdr:rowOff>
              </from>
              <to>
                <xdr:col>7</xdr:col>
                <xdr:colOff>298450</xdr:colOff>
                <xdr:row>4</xdr:row>
                <xdr:rowOff>527050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/>
  <cp:revision/>
  <dcterms:created xsi:type="dcterms:W3CDTF">2007-01-29T23:37:08Z</dcterms:created>
  <dcterms:modified xsi:type="dcterms:W3CDTF">2025-12-05T13:31:57Z</dcterms:modified>
  <cp:category/>
  <cp:contentStatus/>
</cp:coreProperties>
</file>