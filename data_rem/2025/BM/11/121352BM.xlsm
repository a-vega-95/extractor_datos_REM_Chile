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NOV\"/>
    </mc:Choice>
  </mc:AlternateContent>
  <xr:revisionPtr revIDLastSave="0" documentId="13_ncr:1_{D78C8967-50C9-4BC0-90F9-9FCDA45993B9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1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 l="1"/>
  <c r="C25" i="19"/>
  <c r="C68" i="19"/>
  <c r="F140" i="19"/>
  <c r="F206" i="19"/>
  <c r="F158" i="19"/>
  <c r="F148" i="19"/>
  <c r="C40" i="19" l="1"/>
  <c r="C45" i="16"/>
  <c r="C44" i="16"/>
  <c r="E23" i="16"/>
  <c r="E22" i="16"/>
  <c r="D206" i="19"/>
  <c r="C51" i="16" s="1"/>
  <c r="D177" i="19"/>
  <c r="C50" i="16" s="1"/>
  <c r="D158" i="19"/>
  <c r="D148" i="19"/>
  <c r="D140" i="19"/>
  <c r="C41" i="19"/>
  <c r="C42" i="19"/>
  <c r="E21" i="16" l="1"/>
  <c r="C46" i="16" l="1"/>
  <c r="A4" i="19" l="1"/>
  <c r="A3" i="19"/>
  <c r="A2" i="19"/>
  <c r="A4" i="16"/>
  <c r="A3" i="16"/>
  <c r="A2" i="16"/>
  <c r="D34" i="16" l="1"/>
  <c r="D25" i="16"/>
  <c r="D24" i="16"/>
  <c r="D186" i="19"/>
  <c r="C185" i="19"/>
  <c r="C184" i="19"/>
  <c r="C183" i="19"/>
  <c r="C182" i="19"/>
  <c r="C181" i="19"/>
  <c r="C180" i="19"/>
  <c r="D88" i="19"/>
  <c r="F78" i="19"/>
  <c r="D78" i="19"/>
  <c r="C67" i="19"/>
  <c r="C66" i="19"/>
  <c r="C65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D20" i="19"/>
  <c r="E14" i="16" s="1"/>
  <c r="D128" i="19"/>
  <c r="C42" i="16" s="1"/>
  <c r="F20" i="19"/>
  <c r="F88" i="19"/>
  <c r="F73" i="19"/>
  <c r="F54" i="19"/>
  <c r="F49" i="19"/>
  <c r="F43" i="19"/>
  <c r="C186" i="19" l="1"/>
  <c r="F89" i="19"/>
  <c r="D49" i="19" l="1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D73" i="19" l="1"/>
  <c r="D54" i="19"/>
  <c r="D89" i="19" l="1"/>
  <c r="A5" i="19" l="1"/>
  <c r="C49" i="16" l="1"/>
  <c r="C48" i="16"/>
  <c r="E20" i="16"/>
  <c r="E19" i="16"/>
  <c r="B49" i="16" l="1"/>
  <c r="E17" i="16"/>
  <c r="E15" i="16"/>
  <c r="E18" i="16"/>
  <c r="E16" i="16"/>
  <c r="E13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D164" i="19" l="1"/>
  <c r="C47" i="16" l="1"/>
  <c r="C52" i="16" s="1"/>
  <c r="C195" i="19" l="1"/>
  <c r="C205" i="19"/>
  <c r="C201" i="19"/>
  <c r="C194" i="19"/>
  <c r="C202" i="19"/>
  <c r="C192" i="19"/>
  <c r="C193" i="19"/>
  <c r="C190" i="19"/>
  <c r="C57" i="19"/>
  <c r="C145" i="19"/>
  <c r="C102" i="19"/>
  <c r="C118" i="19"/>
  <c r="C127" i="19"/>
  <c r="C156" i="19"/>
  <c r="C60" i="19"/>
  <c r="C96" i="19"/>
  <c r="C98" i="19"/>
  <c r="C134" i="19"/>
  <c r="C99" i="19"/>
  <c r="C135" i="19"/>
  <c r="C146" i="19"/>
  <c r="C147" i="19"/>
  <c r="C154" i="19"/>
  <c r="C76" i="19"/>
  <c r="C173" i="19"/>
  <c r="C175" i="19"/>
  <c r="C100" i="19"/>
  <c r="C139" i="19"/>
  <c r="C176" i="19"/>
  <c r="C105" i="19"/>
  <c r="C109" i="19"/>
  <c r="C83" i="19"/>
  <c r="C136" i="19"/>
  <c r="C70" i="19"/>
  <c r="C53" i="19"/>
  <c r="C15" i="19"/>
  <c r="C17" i="19"/>
  <c r="C19" i="19"/>
  <c r="C18" i="19"/>
  <c r="C14" i="19"/>
  <c r="C133" i="19"/>
  <c r="C203" i="19" l="1"/>
  <c r="C197" i="19"/>
  <c r="C189" i="19"/>
  <c r="C191" i="19"/>
  <c r="C199" i="19"/>
  <c r="C200" i="19"/>
  <c r="C204" i="19"/>
  <c r="C196" i="19"/>
  <c r="C198" i="19"/>
  <c r="D44" i="16"/>
  <c r="B44" i="16" s="1"/>
  <c r="C131" i="19"/>
  <c r="C137" i="19"/>
  <c r="C168" i="19"/>
  <c r="C82" i="19"/>
  <c r="C112" i="19"/>
  <c r="C115" i="19"/>
  <c r="C125" i="19"/>
  <c r="C172" i="19"/>
  <c r="C86" i="19"/>
  <c r="C81" i="19"/>
  <c r="C59" i="19"/>
  <c r="C143" i="19"/>
  <c r="C163" i="19"/>
  <c r="C114" i="19"/>
  <c r="C167" i="19"/>
  <c r="C71" i="19"/>
  <c r="C110" i="19"/>
  <c r="C61" i="19"/>
  <c r="C87" i="19"/>
  <c r="C103" i="19"/>
  <c r="C62" i="19"/>
  <c r="C155" i="19"/>
  <c r="C153" i="19"/>
  <c r="C161" i="19"/>
  <c r="C111" i="19"/>
  <c r="C95" i="19"/>
  <c r="C132" i="19"/>
  <c r="C116" i="19"/>
  <c r="C104" i="19"/>
  <c r="C117" i="19"/>
  <c r="C97" i="19"/>
  <c r="C94" i="19"/>
  <c r="C58" i="19"/>
  <c r="C157" i="19"/>
  <c r="C85" i="19"/>
  <c r="C124" i="19"/>
  <c r="C113" i="19"/>
  <c r="C106" i="19"/>
  <c r="C101" i="19"/>
  <c r="C151" i="19"/>
  <c r="C144" i="19"/>
  <c r="C162" i="19"/>
  <c r="C174" i="19"/>
  <c r="C84" i="19"/>
  <c r="C138" i="19"/>
  <c r="C107" i="19"/>
  <c r="C152" i="19"/>
  <c r="C93" i="19"/>
  <c r="C64" i="19"/>
  <c r="C69" i="19"/>
  <c r="C108" i="19"/>
  <c r="C126" i="19"/>
  <c r="C63" i="19"/>
  <c r="C24" i="19"/>
  <c r="C23" i="19"/>
  <c r="C52" i="19"/>
  <c r="C54" i="19" s="1"/>
  <c r="E54" i="19"/>
  <c r="F17" i="16" s="1"/>
  <c r="D17" i="16" s="1"/>
  <c r="C47" i="19"/>
  <c r="C48" i="19"/>
  <c r="C46" i="19"/>
  <c r="C16" i="19"/>
  <c r="C13" i="19"/>
  <c r="C148" i="19" l="1"/>
  <c r="C206" i="19"/>
  <c r="E206" i="19"/>
  <c r="D51" i="16" s="1"/>
  <c r="B51" i="16" s="1"/>
  <c r="E43" i="19"/>
  <c r="F15" i="16" s="1"/>
  <c r="D15" i="16" s="1"/>
  <c r="C43" i="19"/>
  <c r="C169" i="19"/>
  <c r="E169" i="19"/>
  <c r="D48" i="16" s="1"/>
  <c r="B48" i="16" s="1"/>
  <c r="C177" i="19"/>
  <c r="E177" i="19"/>
  <c r="D50" i="16" s="1"/>
  <c r="B50" i="16" s="1"/>
  <c r="E158" i="19"/>
  <c r="D43" i="16" s="1"/>
  <c r="B43" i="16" s="1"/>
  <c r="D45" i="16"/>
  <c r="B45" i="16" s="1"/>
  <c r="C128" i="19"/>
  <c r="E164" i="19"/>
  <c r="D47" i="16" s="1"/>
  <c r="B47" i="16" s="1"/>
  <c r="C92" i="19"/>
  <c r="F22" i="16"/>
  <c r="C20" i="19"/>
  <c r="E20" i="19"/>
  <c r="F14" i="16" s="1"/>
  <c r="C158" i="19"/>
  <c r="C77" i="19"/>
  <c r="C78" i="19" s="1"/>
  <c r="E78" i="19"/>
  <c r="F19" i="16" s="1"/>
  <c r="D19" i="16" s="1"/>
  <c r="E128" i="19"/>
  <c r="D42" i="16" s="1"/>
  <c r="F23" i="16"/>
  <c r="D23" i="16" s="1"/>
  <c r="C140" i="19"/>
  <c r="C164" i="19"/>
  <c r="E148" i="19"/>
  <c r="D46" i="16" s="1"/>
  <c r="B46" i="16" s="1"/>
  <c r="C88" i="19"/>
  <c r="E88" i="19"/>
  <c r="F20" i="16" s="1"/>
  <c r="D20" i="16" s="1"/>
  <c r="E140" i="19"/>
  <c r="C72" i="19"/>
  <c r="C73" i="19" s="1"/>
  <c r="E73" i="19"/>
  <c r="F18" i="16" s="1"/>
  <c r="D18" i="16" s="1"/>
  <c r="C49" i="19"/>
  <c r="E49" i="19"/>
  <c r="F16" i="16" s="1"/>
  <c r="D16" i="16" s="1"/>
  <c r="C89" i="19" l="1"/>
  <c r="E89" i="19"/>
  <c r="D52" i="16"/>
  <c r="B42" i="16"/>
  <c r="B52" i="16" s="1"/>
  <c r="F21" i="16"/>
  <c r="D21" i="16" s="1"/>
  <c r="D22" i="16"/>
  <c r="D14" i="16"/>
  <c r="F13" i="16"/>
  <c r="D13" i="16" s="1"/>
  <c r="A96" i="16" l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<sst xmlns="http://schemas.openxmlformats.org/spreadsheetml/2006/main" count="452" uniqueCount="397">
  <si>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</si>
  <si>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</si>
  <si>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</si>
  <si>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</si>
  <si>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</si>
  <si>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MONSENOR SERGIO VALECH</t>
  </si>
  <si>
    <t>MES:</t>
  </si>
  <si>
    <t>NOVIEMBRE</t>
  </si>
  <si>
    <t>AÑO:</t>
  </si>
  <si>
    <t xml:space="preserve"> </t>
  </si>
  <si>
    <t>Versión 1.2 Marzo 2025</t>
  </si>
  <si>
    <t>Director/a Servicio de Salud o Director/a Establecimiento</t>
  </si>
  <si>
    <t>SR. CRISTIAN JARA ORELLANA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</si>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</sst>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1" defaultTableStyle="TableStyleMedium9" defaultPivotStyle="PivotStyleLight16">
    <tableStyle name="Invisible" pivot="0" table="0" count="0" xr9:uid="{2975528A-4622-4602-95E1-85EFBD2F3388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295275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E12" sqref="E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5</v>
      </c>
      <c r="H3" s="39">
        <v>2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7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52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</row>
    <row r="4" spans="1:6" x14ac:dyDescent="0.2">
      <c r="A4" s="50" t="str">
        <f>CONCATENATE("MES: ",NOMBRE!B6,"  ","( ",NOMBRE!C6,NOMBRE!D6," )")</f>
        <v>MES: NOVIEMBRE  ( 11 )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34</v>
      </c>
      <c r="E13" s="77">
        <f>SUM(E14:E20)</f>
        <v>0</v>
      </c>
      <c r="F13" s="77">
        <f>SUM(F14:F20)</f>
        <v>34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28</v>
      </c>
      <c r="E18" s="78">
        <f>BM18A!D73</f>
        <v>0</v>
      </c>
      <c r="F18" s="78">
        <f>BM18A!E73</f>
        <v>28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6</v>
      </c>
      <c r="E20" s="78">
        <f>BM18A!D88</f>
        <v>0</v>
      </c>
      <c r="F20" s="78">
        <f>BM18A!E88</f>
        <v>6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5</v>
      </c>
      <c r="E21" s="77">
        <f>SUM(E22+E23)</f>
        <v>0</v>
      </c>
      <c r="F21" s="77">
        <f>SUM(F22+F23)</f>
        <v>5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5</v>
      </c>
      <c r="E23" s="78">
        <f>SUM(BM18A!D114:D118)</f>
        <v>0</v>
      </c>
      <c r="F23" s="80">
        <f>SUM(BM18A!E114:E118)</f>
        <v>5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4</v>
      </c>
      <c r="E25" s="100"/>
      <c r="F25" s="93">
        <v>4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1</v>
      </c>
      <c r="E27" s="92"/>
      <c r="F27" s="93">
        <v>1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5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1</v>
      </c>
      <c r="E35" s="92"/>
      <c r="F35" s="93">
        <v>1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64</v>
      </c>
      <c r="C43" s="83">
        <f>BM18A!D158</f>
        <v>0</v>
      </c>
      <c r="D43" s="83">
        <f>BM18A!E158</f>
        <v>64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100</v>
      </c>
      <c r="C46" s="83">
        <f>BM18A!D148</f>
        <v>0</v>
      </c>
      <c r="D46" s="83">
        <f>BM18A!E148</f>
        <v>100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1</v>
      </c>
      <c r="C48" s="83">
        <f>BM18A!D169</f>
        <v>0</v>
      </c>
      <c r="D48" s="83">
        <f>BM18A!E169</f>
        <v>1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43</v>
      </c>
      <c r="C50" s="79">
        <f>BM18A!D177</f>
        <v>0</v>
      </c>
      <c r="D50" s="79">
        <f>BM18A!E177</f>
        <v>43</v>
      </c>
    </row>
    <row r="51" spans="1:4" ht="16.5" customHeight="1" x14ac:dyDescent="0.2">
      <c r="A51" s="223" t="s">
        <v>110</v>
      </c>
      <c r="B51" s="90">
        <f t="shared" si="4"/>
        <v>498</v>
      </c>
      <c r="C51" s="81">
        <f>BM18A!D206</f>
        <v>0</v>
      </c>
      <c r="D51" s="81">
        <f>BM18A!E206</f>
        <v>498</v>
      </c>
    </row>
    <row r="52" spans="1:4" ht="17.25" customHeight="1" x14ac:dyDescent="0.2">
      <c r="A52" s="91" t="s">
        <v>67</v>
      </c>
      <c r="B52" s="77">
        <f>SUM(B42:B51)</f>
        <v>706</v>
      </c>
      <c r="C52" s="77">
        <f>SUM(C42:C51)</f>
        <v>0</v>
      </c>
      <c r="D52" s="77">
        <f>SUM(D42:D51)</f>
        <v>706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73</v>
      </c>
      <c r="D60" s="84">
        <v>0</v>
      </c>
    </row>
    <row r="61" spans="1:4" ht="16.5" customHeight="1" x14ac:dyDescent="0.2">
      <c r="A61" s="326"/>
      <c r="B61" s="12" t="s">
        <v>120</v>
      </c>
      <c r="C61" s="88">
        <v>0</v>
      </c>
      <c r="D61" s="85"/>
    </row>
    <row r="62" spans="1:4" ht="16.5" customHeight="1" x14ac:dyDescent="0.2">
      <c r="A62" s="327"/>
      <c r="B62" s="13" t="s">
        <v>121</v>
      </c>
      <c r="C62" s="89">
        <v>0</v>
      </c>
      <c r="D62" s="86"/>
    </row>
    <row r="96" spans="1:1" hidden="1" x14ac:dyDescent="0.2">
      <c r="A96" s="215">
        <f>SUM(D13:D37,B42:B52,B57,C60:C62)</f>
        <v>1574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84" zoomScaleNormal="100" workbookViewId="0">
      <selection activeCell="H197" sqref="H197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DOCENTE ASISTENCIAL MONSENOR SERGIO VALECH  ( 121352 )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NOVIEMBRE  ( 11 )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28</v>
      </c>
      <c r="D57" s="65"/>
      <c r="E57" s="114">
        <v>28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67</v>
      </c>
      <c r="B73" s="347"/>
      <c r="C73" s="161">
        <f>SUM(C57:C72)</f>
        <v>28</v>
      </c>
      <c r="D73" s="156">
        <f>SUM(D57:D72)</f>
        <v>0</v>
      </c>
      <c r="E73" s="157">
        <f>SUM(E57:E72)</f>
        <v>28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6</v>
      </c>
      <c r="D83" s="65"/>
      <c r="E83" s="114">
        <v>6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67</v>
      </c>
      <c r="B88" s="346"/>
      <c r="C88" s="160">
        <f>SUM(C81:C87)</f>
        <v>6</v>
      </c>
      <c r="D88" s="156">
        <f>SUM(D81:D87)</f>
        <v>0</v>
      </c>
      <c r="E88" s="157">
        <f>SUM(E81:E87)</f>
        <v>6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34</v>
      </c>
      <c r="D89" s="156">
        <f>+D20+D43+D49+D54+D73+D78+D88</f>
        <v>0</v>
      </c>
      <c r="E89" s="157">
        <f>+E20+E43+E49+E54+E73+E78+E88</f>
        <v>34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>
        <v>0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>
        <v>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>
        <v>0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>
        <v>0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>
        <v>0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>
        <v>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>
        <v>0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>
        <v>0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>
        <v>0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5</v>
      </c>
      <c r="D114" s="65"/>
      <c r="E114" s="114">
        <v>5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86</v>
      </c>
      <c r="D143" s="194"/>
      <c r="E143" s="247">
        <v>86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14</v>
      </c>
      <c r="D145" s="196"/>
      <c r="E145" s="261">
        <v>14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100</v>
      </c>
      <c r="D148" s="159">
        <f t="shared" ref="D148" si="16">SUM(D143:D147)</f>
        <v>0</v>
      </c>
      <c r="E148" s="263">
        <f>SUM(E143:E147)</f>
        <v>100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8</v>
      </c>
      <c r="D151" s="237"/>
      <c r="E151" s="113">
        <v>8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56</v>
      </c>
      <c r="D154" s="214"/>
      <c r="E154" s="115">
        <v>56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64</v>
      </c>
      <c r="D158" s="212">
        <f t="shared" ref="D158:F158" si="18">SUM(D151:D157)</f>
        <v>0</v>
      </c>
      <c r="E158" s="256">
        <f t="shared" si="18"/>
        <v>64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1</v>
      </c>
      <c r="D169" s="228">
        <f>SUM(D167:D168)</f>
        <v>0</v>
      </c>
      <c r="E169" s="268">
        <f>SUM(E167:E168)</f>
        <v>1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4</v>
      </c>
      <c r="D172" s="242"/>
      <c r="E172" s="113">
        <v>4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0</v>
      </c>
      <c r="D174" s="65"/>
      <c r="E174" s="114">
        <v>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6</v>
      </c>
      <c r="D175" s="65"/>
      <c r="E175" s="114">
        <v>6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27</v>
      </c>
      <c r="D176" s="201"/>
      <c r="E176" s="270">
        <v>27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43</v>
      </c>
      <c r="D177" s="155">
        <f t="shared" ref="D177:E177" si="20">SUM(D172:D176)</f>
        <v>0</v>
      </c>
      <c r="E177" s="271">
        <f t="shared" si="20"/>
        <v>43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8</v>
      </c>
      <c r="D189" s="225"/>
      <c r="E189" s="266">
        <v>8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8</v>
      </c>
      <c r="D190" s="226"/>
      <c r="E190" s="255">
        <v>8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175</v>
      </c>
      <c r="D191" s="210"/>
      <c r="E191" s="255">
        <v>175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4</v>
      </c>
      <c r="D192" s="210"/>
      <c r="E192" s="255">
        <v>4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11</v>
      </c>
      <c r="D193" s="210"/>
      <c r="E193" s="255">
        <v>11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36</v>
      </c>
      <c r="D194" s="226"/>
      <c r="E194" s="277">
        <v>36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95</v>
      </c>
      <c r="D195" s="210"/>
      <c r="E195" s="255">
        <v>95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2</v>
      </c>
      <c r="D201" s="210"/>
      <c r="E201" s="255">
        <v>2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149</v>
      </c>
      <c r="D202" s="210"/>
      <c r="E202" s="255">
        <v>149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10</v>
      </c>
      <c r="D203" s="210"/>
      <c r="E203" s="255">
        <v>10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0</v>
      </c>
      <c r="D204" s="210"/>
      <c r="E204" s="255">
        <v>0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0</v>
      </c>
      <c r="D205" s="211"/>
      <c r="E205" s="255">
        <v>0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498</v>
      </c>
      <c r="D206" s="212">
        <f t="shared" ref="D206:F206" si="24">SUM(D189:D205)</f>
        <v>0</v>
      </c>
      <c r="E206" s="256">
        <f t="shared" si="24"/>
        <v>498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/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NOVIEMBRE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295275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2025-12-04T18:36:04Z</dcterms:modified>
  <cp:category/>
  <cp:contentStatus/>
</cp:coreProperties>
</file>