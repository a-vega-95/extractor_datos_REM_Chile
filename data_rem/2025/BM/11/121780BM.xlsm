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RESPALDO\0.1 REM Serie A y P Estadistica 2025\REM Serie A 2025\11 - Noviembre 2025\CECOSF EL SALAR\"/>
    </mc:Choice>
  </mc:AlternateContent>
  <xr:revisionPtr revIDLastSave="0" documentId="13_ncr:1_{7C939B75-941E-4EBA-A44A-91594AC92D8B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28680" yWindow="-120" windowWidth="20640" windowHeight="1104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<sst xmlns="http://schemas.openxmlformats.org/spreadsheetml/2006/main" count="452" uniqueCount="397">
  <si>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</si>
  <si>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</si>
  <si>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</si>
  <si>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</si>
  <si>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</si>
  <si>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</si>
  <si>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</si>
  <si>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</si>
  <si>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</si>
  <si>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</si>
  <si>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</si>
  <si>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</si>
  <si>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</si>
  <si>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</si>
  <si>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</si>
  <si>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</si>
  <si>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</si>
  <si>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</si>
  <si>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</si>
  <si>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</si>
  <si>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</si>
  <si>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</si>
  <si>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</si>
  <si>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</si>
  <si>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</si>
  <si>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</si>
  <si>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</si>
  <si>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</si>
  <si>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</si>
  <si>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</si>
  <si>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</si>
  <si>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</si>
  <si>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</si>
  <si>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</si>
  <si>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</si>
  <si>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</si>
  <si>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</si>
  <si>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</si>
  <si>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</si>
  <si>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</si>
  <si>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</si>
  <si>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</si>
  <si>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</si>
  <si>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</si>
  <si>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</si>
  <si>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</si>
  <si>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</si>
  <si>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</si>
  <si>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</si>
  <si>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</si>
  <si>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</si>
  <si>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</si>
  <si>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</si>
  <si>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</si>
  <si>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</si>
  <si>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</si>
  <si>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</si>
  <si>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</si>
  <si>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</si>
  <si>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</si>
  <si>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</si>
  <si>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</si>
  <si>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</si>
  <si>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</si>
  <si>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</si>
  <si>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</si>
  <si>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</si>
  <si>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</si>
  <si>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</si>
  <si>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</si>
  <si>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</si>
  <si>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</si>
  <si>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</si>
  <si>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</si>
  <si>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</si>
  <si>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</si>
  <si>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</si>
  <si>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</si>
  <si>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</si>
  <si>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</si>
  <si>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</si>
  <si>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</si>
  <si>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</si>
  <si>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</si>
  <si>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</si>
  <si>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</si>
  <si>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</si>
  <si>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</si>
  <si>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</si>
  <si>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</si>
  <si>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</si>
  <si>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</si>
  <si>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</si>
  <si>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</si>
  <si>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</si>
  <si>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</si>
  <si>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</si>
  <si>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</si>
  <si>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</si>
  <si>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</si>
  <si>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</si>
  <si>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</si>
  <si>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</si>
  <si>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</si>
  <si>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</si>
  <si>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</si>
  <si>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</si>
  <si>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</si>
  <si>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</si>
  <si>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</si>
  <si>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</si>
  <si>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</si>
  <si>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</si>
  <si>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</si>
  <si>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</si>
  <si>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</si>
  <si>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</si>
  <si>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</si>
  <si>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</si>
  <si>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</si>
  <si>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</si>
  <si>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</si>
  <si>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</si>
  <si>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</si>
  <si>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</si>
  <si>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</si>
  <si>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</si>
  <si>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</si>
  <si>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</si>
  <si>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</si>
  <si>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</si>
  <si>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</si>
  <si>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</si>
  <si>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</si>
  <si>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</si>
  <si>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</si>
  <si>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</si>
  <si>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</si>
  <si>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</si>
  <si>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</si>
  <si>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</si>
  <si>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</si>
  <si>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</si>
  <si>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</si>
  <si>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</si>
  <si>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</si>
  <si>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</si>
  <si>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</si>
  <si>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</si>
  <si>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</si>
  <si>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</si>
  <si>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</si>
  <si>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</si>
  <si>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</si>
  <si>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</si>
  <si>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</si>
  <si>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</si>
  <si>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</si>
  <si>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</si>
  <si>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</si>
  <si>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</si>
  <si>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</si>
  <si>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</si>
  <si>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</si>
  <si>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</si>
  <si>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</si>
  <si>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</si>
  <si>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</si>
  <si>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</si>
  <si>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</si>
  <si>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</si>
  <si>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</si>
  <si>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</si>
  <si>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</si>
  <si>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</si>
  <si>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</si>
  <si>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</si>
  <si>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</si>
  <si>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</si>
  <si>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</si>
  <si>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</si>
  <si>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</si>
  <si>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</si>
  <si>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</si>
  <si>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</si>
  <si>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</si>
  <si>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</si>
  <si>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</si>
  <si>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</si>
  <si>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</si>
  <si>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</si>
  <si>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</si>
  <si>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</si>
  <si>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</si>
  <si>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</si>
  <si>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</si>
  <si>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</si>
  <si>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</si>
  <si>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</si>
  <si>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</si>
  <si>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</si>
  <si>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</si>
  <si>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</si>
  <si>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</si>
  <si>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</si>
  <si>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</si>
  <si>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</si>
  <si>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</si>
  <si>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</si>
  <si>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</si>
  <si>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</si>
  <si>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</si>
  <si>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</si>
  <si>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</si>
  <si>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</si>
  <si>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</si>
  <si>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</si>
  <si>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</si>
  <si>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</si>
  <si>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</si>
  <si>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</si>
  <si>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</si>
  <si>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</si>
  <si>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</si>
  <si>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</si>
  <si>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</si>
  <si>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</si>
  <si>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</si>
  <si>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</si>
  <si>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</si>
  <si>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</si>
  <si>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</si>
  <si>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</si>
  <si>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</si>
  <si>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</si>
  <si>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</si>
  <si>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</si>
  <si>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</si>
  <si>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</si>
  <si>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</si>
  <si>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</si>
  <si>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</si>
  <si>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</si>
  <si>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</si>
  <si>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</si>
  <si>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</si>
  <si>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</si>
  <si>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</si>
  <si>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</si>
  <si>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</si>
  <si>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</si>
  <si>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</si>
  <si>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</si>
  <si>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</si>
  <si>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</si>
  <si>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</si>
  <si>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</si>
  <si>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</si>
  <si>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</si>
  <si>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</si>
  <si>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</si>
  <si>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</si>
  <si>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</si>
  <si>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</si>
  <si>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</si>
  <si>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</si>
  <si>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</si>
  <si>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</si>
  <si>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</si>
  <si>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</si>
  <si>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</si>
  <si>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</si>
  <si>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</si>
  <si>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</si>
  <si>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</si>
  <si>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</si>
  <si>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</si>
  <si>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</si>
  <si>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</si>
  <si>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</si>
  <si>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</si>
  <si>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</si>
  <si>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</si>
  <si>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</si>
  <si>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</si>
  <si>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</si>
  <si>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</si>
  <si>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</si>
  <si>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</si>
  <si>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</si>
  <si>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</si>
  <si>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</si>
  <si>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</si>
  <si>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</si>
  <si>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</si>
  <si>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</si>
  <si>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</si>
  <si>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</si>
  <si>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</si>
  <si>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</si>
  <si>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</si>
  <si>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</si>
  <si>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</si>
  <si>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</si>
  <si>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</si>
  <si>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</si>
  <si>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</si>
  <si>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</si>
  <si>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</si>
  <si>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</si>
  <si>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</si>
  <si>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</si>
  <si>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</si>
  <si>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</si>
  <si>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</si>
  <si>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</si>
  <si>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</si>
  <si>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</si>
  <si>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</si>
  <si>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</si>
  <si>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</si>
  <si>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</si>
  <si>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</si>
  <si>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</si>
  <si>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</si>
  <si>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</si>
  <si>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</si>
  <si>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</si>
  <si>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</si>
  <si>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</si>
  <si>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</si>
  <si>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</si>
  <si>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</si>
  <si>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</si>
  <si>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</si>
  <si>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</si>
  <si>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</si>
  <si>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</si>
  <si>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</si>
  <si>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</si>
  <si>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</si>
  <si>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</si>
  <si>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</si>
  <si>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</si>
  <si>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</si>
  <si>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</si>
  <si>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</si>
  <si>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</si>
  <si>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</si>
  <si>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</si>
  <si>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</si>
  <si>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</si>
  <si>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</si>
  <si>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</si>
  <si>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</si>
  <si>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</si>
  <si>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</si>
  <si>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</si>
  <si>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</si>
  <si>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</si>
  <si>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</si>
  <si>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</si>
  <si>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</si>
  <si>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</si>
  <si>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</si>
  <si>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TODAS LAS SECCIONES</t>
  </si>
  <si>
    <t>BM18</t>
  </si>
  <si>
    <t>SECCIÓN B:  PROCEDIMIENTO E INTERVENCIONES QUIRÚRGICAS DE APOYO CLÍNICO Y TERAPÉUTICO</t>
  </si>
  <si>
    <t>SECCIÓN B: PROCEDIMIENTOS E INTERVENCIONES QUIRÚRGICAS DE APOYO CLÍNICO Y TERAPÉUTICO</t>
  </si>
  <si>
    <t>DERMATOLOGÍA, TEGUMENTOS E INTERVENCIONES QUIRÚRGICAS MENORES</t>
  </si>
  <si>
    <t>Monitoreo continuo de presión arterial (Holter)</t>
  </si>
  <si>
    <t>Monitoreo Ambulatorio de Presión Arterial (procedimiento de 3 evaluaciones de presión arterial finalizado)</t>
  </si>
  <si>
    <t>0301059</t>
  </si>
  <si>
    <t>Tiempo de protrombina (incluye INR, Razón Internacional Normalizada)</t>
  </si>
  <si>
    <t>0302077</t>
  </si>
  <si>
    <t>Vitamina B12 por inmunoensayo</t>
  </si>
  <si>
    <t>Versión 1.2 Marzo 2025</t>
  </si>
  <si>
    <t>0106007</t>
  </si>
  <si>
    <t>0302067</t>
  </si>
  <si>
    <t>Colesterol total (proc. aut.)</t>
  </si>
  <si>
    <t>0302068</t>
  </si>
  <si>
    <t>Colesterol HDL (proc. aut.)</t>
  </si>
  <si>
    <t>0302075</t>
  </si>
  <si>
    <t>Perfil bioquímico (determinación automatizada de 12 parámetros)</t>
  </si>
  <si>
    <t>EXÁMENES DE DEPOSICIONES, EXUDADOS, SECRECIONES Y OTROS LÍQUIDOS</t>
  </si>
  <si>
    <t>Antibiograma Corriente (mínimo 10 fármacos) (en caso de urocultivo no corresponde su cobro; incluido en el valor 03-06-011)</t>
  </si>
  <si>
    <t>0306026</t>
  </si>
  <si>
    <t>Coproparasitológico seriado simple (incluye diagnóstico de gusanos macroscópicos y examen microscópico por concentración de tres muestras separadas método Telemann ) (proc. aut.)</t>
  </si>
  <si>
    <t>0306048</t>
  </si>
  <si>
    <t>0306169</t>
  </si>
  <si>
    <t>Anticuerpos virales, determ. de H.I.V.</t>
  </si>
  <si>
    <t xml:space="preserve">VIH, anticuerpos y antígenos virales, determ. de H.I.V. </t>
  </si>
  <si>
    <t>0306112</t>
  </si>
  <si>
    <t>TEMUCO</t>
  </si>
  <si>
    <t>EVELYN SOTO SAAVEDRA</t>
  </si>
  <si>
    <t>JAVIERA AGUIRRE HUECHUCURA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</si>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</sst>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393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3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4</v>
      </c>
      <c r="B6" s="170" t="s">
        <v>34</v>
      </c>
      <c r="C6" s="171">
        <v>1</v>
      </c>
      <c r="D6" s="172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5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90" t="s">
        <v>376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7</v>
      </c>
      <c r="B11" s="7" t="s">
        <v>395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8</v>
      </c>
      <c r="AB11" s="35" t="s">
        <v>9</v>
      </c>
      <c r="AC11" s="108" t="s">
        <v>10</v>
      </c>
    </row>
    <row r="12" spans="1:33" ht="21" customHeight="1" x14ac:dyDescent="0.2">
      <c r="A12" s="152" t="s">
        <v>11</v>
      </c>
      <c r="B12" s="7" t="s">
        <v>394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12</v>
      </c>
      <c r="AB12" s="35" t="s">
        <v>13</v>
      </c>
      <c r="AC12" s="108" t="s">
        <v>14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15</v>
      </c>
      <c r="AB13" s="35" t="s">
        <v>16</v>
      </c>
      <c r="AC13" s="108" t="s">
        <v>17</v>
      </c>
    </row>
    <row r="14" spans="1:33" ht="21" customHeight="1" x14ac:dyDescent="0.15">
      <c r="A14" s="280" t="s">
        <v>18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19</v>
      </c>
      <c r="AB14" s="35" t="s">
        <v>20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21</v>
      </c>
      <c r="AB15" s="35" t="s">
        <v>22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23</v>
      </c>
      <c r="AB16" s="35" t="s">
        <v>24</v>
      </c>
      <c r="AC16" s="109"/>
    </row>
    <row r="17" spans="2:29" ht="21" customHeight="1" x14ac:dyDescent="0.15">
      <c r="B17" s="282" t="s">
        <v>25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26</v>
      </c>
      <c r="AB17" s="35" t="s">
        <v>27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28</v>
      </c>
      <c r="AB18" s="35" t="s">
        <v>29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30</v>
      </c>
      <c r="AB19" s="35" t="s">
        <v>31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32</v>
      </c>
      <c r="AB20" s="35" t="s">
        <v>33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34</v>
      </c>
      <c r="AB21" s="35" t="s">
        <v>35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36</v>
      </c>
      <c r="AB22" s="35" t="s">
        <v>37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38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39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40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41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42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43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44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45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46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47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48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49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50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51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52</v>
      </c>
      <c r="AC37" s="108"/>
    </row>
    <row r="38" spans="14:29" ht="12" customHeight="1" x14ac:dyDescent="0.15">
      <c r="AA38" s="112"/>
      <c r="AB38" s="35" t="s">
        <v>53</v>
      </c>
      <c r="AC38" s="108"/>
    </row>
    <row r="39" spans="14:29" ht="12" customHeight="1" x14ac:dyDescent="0.15">
      <c r="AA39" s="112"/>
      <c r="AB39" s="35" t="s">
        <v>54</v>
      </c>
      <c r="AC39" s="112"/>
    </row>
    <row r="40" spans="14:29" ht="12" customHeight="1" x14ac:dyDescent="0.15">
      <c r="AA40" s="112"/>
      <c r="AB40" s="35" t="s">
        <v>55</v>
      </c>
      <c r="AC40" s="112"/>
    </row>
    <row r="41" spans="14:29" ht="12" customHeight="1" x14ac:dyDescent="0.15">
      <c r="AA41" s="112"/>
      <c r="AB41" s="35" t="s">
        <v>56</v>
      </c>
      <c r="AC41" s="112"/>
    </row>
    <row r="42" spans="14:29" ht="12" customHeight="1" x14ac:dyDescent="0.15">
      <c r="AA42" s="112"/>
      <c r="AB42" s="35" t="s">
        <v>57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9" zoomScale="77" zoomScaleNormal="77" workbookViewId="0">
      <selection activeCell="C60" sqref="C60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58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</row>
    <row r="4" spans="1:6" x14ac:dyDescent="0.2">
      <c r="A4" s="50" t="str">
        <f>CONCATENATE("MES: ",NOMBRE!B6,"  ","( ",NOMBRE!C6,NOMBRE!D6," )")</f>
        <v>MES: NOVIEMBRE  ( 11 )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59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60</v>
      </c>
      <c r="B10" s="325"/>
      <c r="C10" s="325"/>
    </row>
    <row r="11" spans="1:6" ht="12.75" customHeight="1" x14ac:dyDescent="0.2">
      <c r="A11" s="326" t="s">
        <v>61</v>
      </c>
      <c r="B11" s="327"/>
      <c r="C11" s="328"/>
      <c r="D11" s="320" t="s">
        <v>62</v>
      </c>
      <c r="E11" s="320" t="s">
        <v>63</v>
      </c>
      <c r="F11" s="292" t="s">
        <v>64</v>
      </c>
    </row>
    <row r="12" spans="1:6" ht="21.75" customHeight="1" x14ac:dyDescent="0.2">
      <c r="A12" s="329"/>
      <c r="B12" s="330"/>
      <c r="C12" s="331"/>
      <c r="D12" s="322"/>
      <c r="E12" s="322" t="s">
        <v>65</v>
      </c>
      <c r="F12" s="293" t="s">
        <v>65</v>
      </c>
    </row>
    <row r="13" spans="1:6" ht="20.25" customHeight="1" x14ac:dyDescent="0.2">
      <c r="A13" s="43" t="s">
        <v>66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67</v>
      </c>
      <c r="B14" s="332" t="s">
        <v>68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69</v>
      </c>
      <c r="B15" s="306" t="s">
        <v>70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71</v>
      </c>
      <c r="B16" s="306" t="s">
        <v>72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73</v>
      </c>
      <c r="B17" s="306" t="s">
        <v>74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75</v>
      </c>
      <c r="B18" s="306" t="s">
        <v>76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77</v>
      </c>
      <c r="B19" s="304" t="s">
        <v>78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79</v>
      </c>
      <c r="B20" s="310" t="s">
        <v>80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81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82</v>
      </c>
      <c r="B22" s="312" t="s">
        <v>83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84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85</v>
      </c>
      <c r="C24" s="180" t="s">
        <v>86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87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321"/>
      <c r="B26" s="318" t="s">
        <v>88</v>
      </c>
      <c r="C26" s="133" t="s">
        <v>86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87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89</v>
      </c>
      <c r="C28" s="133" t="s">
        <v>86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87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90</v>
      </c>
      <c r="C30" s="133" t="s">
        <v>86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87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91</v>
      </c>
      <c r="C32" s="133" t="s">
        <v>86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87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92</v>
      </c>
      <c r="C34" s="133" t="s">
        <v>86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87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93</v>
      </c>
      <c r="C36" s="133" t="s">
        <v>86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87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367</v>
      </c>
      <c r="B39" s="11"/>
    </row>
    <row r="40" spans="1:6" ht="12.75" customHeight="1" x14ac:dyDescent="0.2">
      <c r="A40" s="292" t="s">
        <v>94</v>
      </c>
      <c r="B40" s="292" t="s">
        <v>62</v>
      </c>
      <c r="C40" s="320" t="s">
        <v>63</v>
      </c>
      <c r="D40" s="292" t="s">
        <v>64</v>
      </c>
    </row>
    <row r="41" spans="1:6" ht="25.5" customHeight="1" x14ac:dyDescent="0.2">
      <c r="A41" s="293"/>
      <c r="B41" s="294"/>
      <c r="C41" s="322" t="s">
        <v>65</v>
      </c>
      <c r="D41" s="293" t="s">
        <v>65</v>
      </c>
    </row>
    <row r="42" spans="1:6" ht="16.5" customHeight="1" x14ac:dyDescent="0.2">
      <c r="A42" s="90" t="s">
        <v>95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96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97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98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99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100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101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102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103</v>
      </c>
      <c r="B50" s="90">
        <f t="shared" si="4"/>
        <v>26</v>
      </c>
      <c r="C50" s="79">
        <f>BM18A!D177</f>
        <v>0</v>
      </c>
      <c r="D50" s="79">
        <f>BM18A!E177</f>
        <v>26</v>
      </c>
    </row>
    <row r="51" spans="1:4" ht="16.5" customHeight="1" x14ac:dyDescent="0.2">
      <c r="A51" s="223" t="s">
        <v>104</v>
      </c>
      <c r="B51" s="90">
        <f t="shared" si="4"/>
        <v>341</v>
      </c>
      <c r="C51" s="81">
        <f>BM18A!D206</f>
        <v>0</v>
      </c>
      <c r="D51" s="81">
        <f>BM18A!E206</f>
        <v>341</v>
      </c>
    </row>
    <row r="52" spans="1:4" ht="17.25" customHeight="1" x14ac:dyDescent="0.2">
      <c r="A52" s="91" t="s">
        <v>62</v>
      </c>
      <c r="B52" s="77">
        <f>SUM(B42:B51)</f>
        <v>367</v>
      </c>
      <c r="C52" s="77">
        <f>SUM(C42:C51)</f>
        <v>0</v>
      </c>
      <c r="D52" s="77">
        <f>SUM(D42:D51)</f>
        <v>367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105</v>
      </c>
    </row>
    <row r="55" spans="1:4" x14ac:dyDescent="0.2">
      <c r="A55" s="302" t="s">
        <v>106</v>
      </c>
      <c r="B55" s="300" t="s">
        <v>62</v>
      </c>
    </row>
    <row r="56" spans="1:4" x14ac:dyDescent="0.2">
      <c r="A56" s="303"/>
      <c r="B56" s="301"/>
    </row>
    <row r="57" spans="1:4" ht="17.25" customHeight="1" x14ac:dyDescent="0.2">
      <c r="A57" s="116" t="s">
        <v>107</v>
      </c>
      <c r="B57" s="207"/>
    </row>
    <row r="58" spans="1:4" ht="27.75" customHeight="1" x14ac:dyDescent="0.2">
      <c r="A58" s="36" t="s">
        <v>108</v>
      </c>
      <c r="D58" s="52"/>
    </row>
    <row r="59" spans="1:4" ht="32.25" customHeight="1" x14ac:dyDescent="0.2">
      <c r="A59" s="298" t="s">
        <v>109</v>
      </c>
      <c r="B59" s="299"/>
      <c r="C59" s="103" t="s">
        <v>110</v>
      </c>
      <c r="D59" s="104" t="s">
        <v>111</v>
      </c>
    </row>
    <row r="60" spans="1:4" ht="16.5" customHeight="1" x14ac:dyDescent="0.2">
      <c r="A60" s="295" t="s">
        <v>112</v>
      </c>
      <c r="B60" s="208" t="s">
        <v>113</v>
      </c>
      <c r="C60" s="87">
        <v>0</v>
      </c>
      <c r="D60" s="84">
        <v>0</v>
      </c>
    </row>
    <row r="61" spans="1:4" ht="16.5" customHeight="1" x14ac:dyDescent="0.2">
      <c r="A61" s="296"/>
      <c r="B61" s="12" t="s">
        <v>114</v>
      </c>
      <c r="C61" s="88"/>
      <c r="D61" s="85"/>
    </row>
    <row r="62" spans="1:4" ht="16.5" customHeight="1" x14ac:dyDescent="0.2">
      <c r="A62" s="297"/>
      <c r="B62" s="13" t="s">
        <v>115</v>
      </c>
      <c r="C62" s="89"/>
      <c r="D62" s="86"/>
    </row>
    <row r="96" spans="1:1" hidden="1" x14ac:dyDescent="0.2">
      <c r="A96" s="215">
        <f>SUM(D13:D37,B42:B52,B57,C60:C62)</f>
        <v>734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65" zoomScale="80" zoomScaleNormal="80" workbookViewId="0">
      <selection activeCell="E182" sqref="E182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58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NOVIEMBRE  ( 11 )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116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60</v>
      </c>
      <c r="B9" s="120"/>
      <c r="U9" s="54"/>
    </row>
    <row r="10" spans="1:21" ht="14.1" customHeight="1" x14ac:dyDescent="0.2">
      <c r="A10" s="356" t="s">
        <v>1</v>
      </c>
      <c r="B10" s="352" t="s">
        <v>61</v>
      </c>
      <c r="C10" s="354" t="s">
        <v>62</v>
      </c>
      <c r="D10" s="352" t="s">
        <v>63</v>
      </c>
      <c r="E10" s="357" t="s">
        <v>64</v>
      </c>
      <c r="F10" s="352" t="s">
        <v>117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118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119</v>
      </c>
      <c r="B13" s="121" t="s">
        <v>120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121</v>
      </c>
      <c r="B14" s="121" t="s">
        <v>122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123</v>
      </c>
      <c r="B15" s="121" t="s">
        <v>124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125</v>
      </c>
      <c r="B16" s="121" t="s">
        <v>126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127</v>
      </c>
      <c r="B17" s="121" t="s">
        <v>128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372</v>
      </c>
      <c r="B18" s="121" t="s">
        <v>373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129</v>
      </c>
      <c r="B19" s="121" t="s">
        <v>130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46" t="s">
        <v>62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131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132</v>
      </c>
      <c r="B23" s="121" t="s">
        <v>133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134</v>
      </c>
      <c r="B24" s="121" t="s">
        <v>135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378</v>
      </c>
      <c r="B25" s="121" t="s">
        <v>379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380</v>
      </c>
      <c r="B26" s="121" t="s">
        <v>381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136</v>
      </c>
      <c r="B27" s="121" t="s">
        <v>137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138</v>
      </c>
      <c r="B28" s="121" t="s">
        <v>139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140</v>
      </c>
      <c r="B29" s="121" t="s">
        <v>141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142</v>
      </c>
      <c r="B30" s="121" t="s">
        <v>143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144</v>
      </c>
      <c r="B31" s="121" t="s">
        <v>145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146</v>
      </c>
      <c r="B32" s="121" t="s">
        <v>147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148</v>
      </c>
      <c r="B33" s="121" t="s">
        <v>149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150</v>
      </c>
      <c r="B34" s="121" t="s">
        <v>151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152</v>
      </c>
      <c r="B35" s="121" t="s">
        <v>153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382</v>
      </c>
      <c r="B36" s="121" t="s">
        <v>383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154</v>
      </c>
      <c r="B37" s="121" t="s">
        <v>155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156</v>
      </c>
      <c r="B38" s="121" t="s">
        <v>157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158</v>
      </c>
      <c r="B39" s="121" t="s">
        <v>159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160</v>
      </c>
      <c r="B40" s="121" t="s">
        <v>161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374</v>
      </c>
      <c r="B41" s="121" t="s">
        <v>375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162</v>
      </c>
      <c r="B42" s="121" t="s">
        <v>163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34" t="s">
        <v>62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164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165</v>
      </c>
      <c r="B46" s="198" t="s">
        <v>166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167</v>
      </c>
      <c r="B47" s="121" t="s">
        <v>168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169</v>
      </c>
      <c r="B48" s="121" t="s">
        <v>170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34" t="s">
        <v>62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74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171</v>
      </c>
      <c r="B52" s="198" t="s">
        <v>172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173</v>
      </c>
      <c r="B53" s="121" t="s">
        <v>174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34" t="s">
        <v>62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76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175</v>
      </c>
      <c r="B57" s="121" t="s">
        <v>176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177</v>
      </c>
      <c r="B58" s="121" t="s">
        <v>178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179</v>
      </c>
      <c r="B59" s="121" t="s">
        <v>180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181</v>
      </c>
      <c r="B60" s="121" t="s">
        <v>182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183</v>
      </c>
      <c r="B61" s="121" t="s">
        <v>184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185</v>
      </c>
      <c r="B62" s="121" t="s">
        <v>186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386</v>
      </c>
      <c r="B63" s="121" t="s">
        <v>385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187</v>
      </c>
      <c r="B64" s="121" t="s">
        <v>188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189</v>
      </c>
      <c r="B65" s="121" t="s">
        <v>190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191</v>
      </c>
      <c r="B66" s="121" t="s">
        <v>192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193</v>
      </c>
      <c r="B67" s="121" t="s">
        <v>194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388</v>
      </c>
      <c r="B68" s="121" t="s">
        <v>387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195</v>
      </c>
      <c r="B69" s="121" t="s">
        <v>196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389</v>
      </c>
      <c r="B70" s="121" t="s">
        <v>390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197</v>
      </c>
      <c r="B71" s="129" t="s">
        <v>198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392</v>
      </c>
      <c r="B72" s="129" t="s">
        <v>391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34" t="s">
        <v>62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384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199</v>
      </c>
      <c r="B76" s="121" t="s">
        <v>200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201</v>
      </c>
      <c r="B77" s="121" t="s">
        <v>202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34" t="s">
        <v>62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203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204</v>
      </c>
      <c r="B81" s="121" t="s">
        <v>205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206</v>
      </c>
      <c r="B82" s="121" t="s">
        <v>207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208</v>
      </c>
      <c r="B83" s="121" t="s">
        <v>209</v>
      </c>
      <c r="C83" s="64">
        <f t="shared" si="10"/>
        <v>0</v>
      </c>
      <c r="D83" s="65"/>
      <c r="E83" s="114">
        <v>0</v>
      </c>
      <c r="F83" s="65"/>
    </row>
    <row r="84" spans="1:6" ht="15" customHeight="1" x14ac:dyDescent="0.2">
      <c r="A84" s="57" t="s">
        <v>210</v>
      </c>
      <c r="B84" s="121" t="s">
        <v>211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212</v>
      </c>
      <c r="B85" s="121" t="s">
        <v>213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214</v>
      </c>
      <c r="B86" s="121" t="s">
        <v>215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216</v>
      </c>
      <c r="B87" s="121" t="s">
        <v>217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34" t="s">
        <v>62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218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219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220</v>
      </c>
      <c r="B92" s="128" t="s">
        <v>221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222</v>
      </c>
      <c r="B93" s="121" t="s">
        <v>223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224</v>
      </c>
      <c r="B94" s="121" t="s">
        <v>225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226</v>
      </c>
      <c r="B95" s="121" t="s">
        <v>227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228</v>
      </c>
      <c r="B96" s="121" t="s">
        <v>229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230</v>
      </c>
      <c r="B97" s="121" t="s">
        <v>231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232</v>
      </c>
      <c r="B98" s="121" t="s">
        <v>233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234</v>
      </c>
      <c r="B99" s="121" t="s">
        <v>235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236</v>
      </c>
      <c r="B100" s="121" t="s">
        <v>237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238</v>
      </c>
      <c r="B101" s="121" t="s">
        <v>239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240</v>
      </c>
      <c r="B102" s="121" t="s">
        <v>241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242</v>
      </c>
      <c r="B103" s="121" t="s">
        <v>243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244</v>
      </c>
      <c r="B104" s="121" t="s">
        <v>245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246</v>
      </c>
      <c r="B105" s="121" t="s">
        <v>247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248</v>
      </c>
      <c r="B106" s="121" t="s">
        <v>249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250</v>
      </c>
      <c r="B107" s="121" t="s">
        <v>251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252</v>
      </c>
      <c r="B108" s="121" t="s">
        <v>253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254</v>
      </c>
      <c r="B109" s="121" t="s">
        <v>255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256</v>
      </c>
      <c r="B110" s="121" t="s">
        <v>257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258</v>
      </c>
      <c r="B111" s="121" t="s">
        <v>259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260</v>
      </c>
      <c r="B112" s="121" t="s">
        <v>261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262</v>
      </c>
      <c r="B113" s="121" t="s">
        <v>263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264</v>
      </c>
      <c r="B114" s="121" t="s">
        <v>265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266</v>
      </c>
      <c r="B115" s="121" t="s">
        <v>267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268</v>
      </c>
      <c r="B116" s="121" t="s">
        <v>269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270</v>
      </c>
      <c r="B117" s="121" t="s">
        <v>271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272</v>
      </c>
      <c r="B118" s="185" t="s">
        <v>273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368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94</v>
      </c>
      <c r="C121" s="352" t="s">
        <v>65</v>
      </c>
      <c r="D121" s="352" t="s">
        <v>63</v>
      </c>
      <c r="E121" s="357" t="s">
        <v>64</v>
      </c>
      <c r="F121" s="354" t="s">
        <v>117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274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275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276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277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278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62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369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279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280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281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282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283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284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285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286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287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34" t="s">
        <v>62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288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289</v>
      </c>
      <c r="B143" s="128" t="s">
        <v>290</v>
      </c>
      <c r="C143" s="70">
        <f>SUM(D143:E143)</f>
        <v>0</v>
      </c>
      <c r="D143" s="194"/>
      <c r="E143" s="247">
        <v>0</v>
      </c>
      <c r="F143" s="257"/>
    </row>
    <row r="144" spans="1:6" ht="15" customHeight="1" x14ac:dyDescent="0.2">
      <c r="A144" s="60" t="s">
        <v>291</v>
      </c>
      <c r="B144" s="121" t="s">
        <v>370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371</v>
      </c>
      <c r="C145" s="73">
        <f>SUM(D145:E145)</f>
        <v>0</v>
      </c>
      <c r="D145" s="196"/>
      <c r="E145" s="261">
        <v>0</v>
      </c>
      <c r="F145" s="246"/>
    </row>
    <row r="146" spans="1:6" ht="15" customHeight="1" x14ac:dyDescent="0.2">
      <c r="A146" s="60"/>
      <c r="B146" s="121" t="s">
        <v>292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293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62</v>
      </c>
      <c r="B148" s="33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294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295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296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297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298</v>
      </c>
      <c r="C154" s="131">
        <f t="shared" si="17"/>
        <v>0</v>
      </c>
      <c r="D154" s="214"/>
      <c r="E154" s="115">
        <v>0</v>
      </c>
      <c r="F154" s="250"/>
    </row>
    <row r="155" spans="1:6" ht="15" customHeight="1" x14ac:dyDescent="0.2">
      <c r="A155" s="62" t="s">
        <v>299</v>
      </c>
      <c r="B155" s="121" t="s">
        <v>300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301</v>
      </c>
      <c r="B156" s="121" t="s">
        <v>302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303</v>
      </c>
      <c r="B157" s="121" t="s">
        <v>304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62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305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306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307</v>
      </c>
      <c r="B162" s="121" t="s">
        <v>308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309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34" t="s">
        <v>62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310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311</v>
      </c>
      <c r="C167" s="241">
        <f>SUM(D167:E167)</f>
        <v>0</v>
      </c>
      <c r="D167" s="240"/>
      <c r="E167" s="266">
        <v>0</v>
      </c>
      <c r="F167" s="264"/>
    </row>
    <row r="168" spans="1:6" ht="15" customHeight="1" x14ac:dyDescent="0.2">
      <c r="A168" s="61">
        <v>1901022</v>
      </c>
      <c r="B168" s="129" t="s">
        <v>312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34" t="s">
        <v>62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313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314</v>
      </c>
      <c r="C172" s="204">
        <f>SUM(D172:E172)</f>
        <v>3</v>
      </c>
      <c r="D172" s="242"/>
      <c r="E172" s="113">
        <v>3</v>
      </c>
      <c r="F172" s="264"/>
    </row>
    <row r="173" spans="1:6" ht="15" customHeight="1" x14ac:dyDescent="0.2">
      <c r="A173" s="60"/>
      <c r="B173" s="121" t="s">
        <v>315</v>
      </c>
      <c r="C173" s="188">
        <f>SUM(D173:E173)</f>
        <v>3</v>
      </c>
      <c r="D173" s="65"/>
      <c r="E173" s="114">
        <v>3</v>
      </c>
      <c r="F173" s="246"/>
    </row>
    <row r="174" spans="1:6" ht="15" customHeight="1" x14ac:dyDescent="0.2">
      <c r="A174" s="60">
        <v>2001015</v>
      </c>
      <c r="B174" s="198" t="s">
        <v>316</v>
      </c>
      <c r="C174" s="75">
        <f>SUM(D174:E174)</f>
        <v>2</v>
      </c>
      <c r="D174" s="65"/>
      <c r="E174" s="114">
        <v>2</v>
      </c>
      <c r="F174" s="246"/>
    </row>
    <row r="175" spans="1:6" ht="15" customHeight="1" x14ac:dyDescent="0.2">
      <c r="A175" s="60"/>
      <c r="B175" s="121" t="s">
        <v>317</v>
      </c>
      <c r="C175" s="75">
        <f t="shared" ref="C175:C176" si="19">SUM(D175:E175)</f>
        <v>18</v>
      </c>
      <c r="D175" s="65"/>
      <c r="E175" s="114">
        <v>18</v>
      </c>
      <c r="F175" s="246"/>
    </row>
    <row r="176" spans="1:6" ht="15" customHeight="1" x14ac:dyDescent="0.2">
      <c r="A176" s="200"/>
      <c r="B176" s="198" t="s">
        <v>318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34" t="s">
        <v>62</v>
      </c>
      <c r="B177" s="336"/>
      <c r="C177" s="155">
        <f>SUM(C172:C176)</f>
        <v>26</v>
      </c>
      <c r="D177" s="155">
        <f t="shared" ref="D177:E177" si="20">SUM(D172:D176)</f>
        <v>0</v>
      </c>
      <c r="E177" s="271">
        <f t="shared" si="20"/>
        <v>26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319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320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321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322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323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324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325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62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104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326</v>
      </c>
      <c r="C189" s="188">
        <f t="shared" ref="C189:C194" si="22">SUM(D189:E189)</f>
        <v>0</v>
      </c>
      <c r="D189" s="225"/>
      <c r="E189" s="266">
        <v>0</v>
      </c>
      <c r="F189" s="272"/>
    </row>
    <row r="190" spans="1:6" ht="15" customHeight="1" x14ac:dyDescent="0.2">
      <c r="A190" s="202"/>
      <c r="B190" s="121" t="s">
        <v>327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328</v>
      </c>
      <c r="B191" s="121" t="s">
        <v>329</v>
      </c>
      <c r="C191" s="188">
        <f t="shared" si="22"/>
        <v>41</v>
      </c>
      <c r="D191" s="210"/>
      <c r="E191" s="255">
        <v>41</v>
      </c>
      <c r="F191" s="246"/>
    </row>
    <row r="192" spans="1:6" ht="15" customHeight="1" x14ac:dyDescent="0.2">
      <c r="A192" s="62"/>
      <c r="B192" s="129" t="s">
        <v>330</v>
      </c>
      <c r="C192" s="188">
        <f t="shared" si="22"/>
        <v>16</v>
      </c>
      <c r="D192" s="210"/>
      <c r="E192" s="255">
        <v>16</v>
      </c>
      <c r="F192" s="246"/>
    </row>
    <row r="193" spans="1:6" ht="15" customHeight="1" x14ac:dyDescent="0.2">
      <c r="A193" s="62"/>
      <c r="B193" s="129" t="s">
        <v>331</v>
      </c>
      <c r="C193" s="188">
        <f t="shared" si="22"/>
        <v>5</v>
      </c>
      <c r="D193" s="210"/>
      <c r="E193" s="255">
        <v>5</v>
      </c>
      <c r="F193" s="246"/>
    </row>
    <row r="194" spans="1:6" ht="15" customHeight="1" x14ac:dyDescent="0.2">
      <c r="A194" s="203"/>
      <c r="B194" s="129" t="s">
        <v>332</v>
      </c>
      <c r="C194" s="199">
        <f t="shared" si="22"/>
        <v>0</v>
      </c>
      <c r="D194" s="226"/>
      <c r="E194" s="277">
        <v>0</v>
      </c>
      <c r="F194" s="246"/>
    </row>
    <row r="195" spans="1:6" ht="15" customHeight="1" x14ac:dyDescent="0.2">
      <c r="A195" s="62"/>
      <c r="B195" s="129" t="s">
        <v>333</v>
      </c>
      <c r="C195" s="188">
        <f t="shared" ref="C195:C205" si="23">SUM(D195:E195)</f>
        <v>88</v>
      </c>
      <c r="D195" s="210"/>
      <c r="E195" s="255">
        <v>88</v>
      </c>
      <c r="F195" s="246"/>
    </row>
    <row r="196" spans="1:6" ht="15" customHeight="1" x14ac:dyDescent="0.2">
      <c r="A196" s="236" t="s">
        <v>377</v>
      </c>
      <c r="B196" s="121" t="s">
        <v>335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334</v>
      </c>
      <c r="B197" s="121" t="s">
        <v>337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336</v>
      </c>
      <c r="B198" s="121" t="s">
        <v>339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338</v>
      </c>
      <c r="B199" s="121" t="s">
        <v>341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340</v>
      </c>
      <c r="B200" s="121" t="s">
        <v>343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342</v>
      </c>
      <c r="B201" s="121" t="s">
        <v>345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344</v>
      </c>
      <c r="B202" s="121" t="s">
        <v>347</v>
      </c>
      <c r="C202" s="188">
        <f t="shared" si="23"/>
        <v>57</v>
      </c>
      <c r="D202" s="210"/>
      <c r="E202" s="255">
        <v>57</v>
      </c>
      <c r="F202" s="246"/>
    </row>
    <row r="203" spans="1:6" ht="15" customHeight="1" x14ac:dyDescent="0.2">
      <c r="A203" s="62" t="s">
        <v>346</v>
      </c>
      <c r="B203" s="121" t="s">
        <v>349</v>
      </c>
      <c r="C203" s="188">
        <f t="shared" si="23"/>
        <v>0</v>
      </c>
      <c r="D203" s="210"/>
      <c r="E203" s="255">
        <v>0</v>
      </c>
      <c r="F203" s="246"/>
    </row>
    <row r="204" spans="1:6" ht="15" customHeight="1" x14ac:dyDescent="0.2">
      <c r="A204" s="62" t="s">
        <v>348</v>
      </c>
      <c r="B204" s="121" t="s">
        <v>351</v>
      </c>
      <c r="C204" s="188">
        <f t="shared" si="23"/>
        <v>133</v>
      </c>
      <c r="D204" s="210"/>
      <c r="E204" s="255">
        <v>133</v>
      </c>
      <c r="F204" s="250"/>
    </row>
    <row r="205" spans="1:6" ht="15" customHeight="1" x14ac:dyDescent="0.2">
      <c r="A205" s="62" t="s">
        <v>350</v>
      </c>
      <c r="B205" s="185" t="s">
        <v>352</v>
      </c>
      <c r="C205" s="188">
        <f t="shared" si="23"/>
        <v>1</v>
      </c>
      <c r="D205" s="211"/>
      <c r="E205" s="255">
        <v>1</v>
      </c>
      <c r="F205" s="258"/>
    </row>
    <row r="206" spans="1:6" ht="15" customHeight="1" x14ac:dyDescent="0.2">
      <c r="A206" s="334" t="s">
        <v>62</v>
      </c>
      <c r="B206" s="336"/>
      <c r="C206" s="72">
        <f>SUM(C189:C205)</f>
        <v>341</v>
      </c>
      <c r="D206" s="212">
        <f t="shared" ref="D206:F206" si="24">SUM(D189:D205)</f>
        <v>0</v>
      </c>
      <c r="E206" s="256">
        <f t="shared" si="24"/>
        <v>341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353</v>
      </c>
      <c r="C2" s="16" t="s">
        <v>354</v>
      </c>
      <c r="D2" s="17" t="s">
        <v>355</v>
      </c>
    </row>
    <row r="3" spans="2:4" ht="19.5" customHeight="1" x14ac:dyDescent="0.2">
      <c r="B3" s="25" t="s">
        <v>356</v>
      </c>
      <c r="C3" s="24" t="s">
        <v>357</v>
      </c>
      <c r="D3" s="19">
        <f>+NOMBRE!AG2</f>
        <v>0</v>
      </c>
    </row>
    <row r="4" spans="2:4" ht="19.5" customHeight="1" x14ac:dyDescent="0.2">
      <c r="B4" s="25" t="s">
        <v>356</v>
      </c>
      <c r="C4" s="24" t="s">
        <v>358</v>
      </c>
      <c r="D4" s="19">
        <f>+NOMBRE!AG3</f>
        <v>0</v>
      </c>
    </row>
    <row r="5" spans="2:4" ht="19.5" customHeight="1" x14ac:dyDescent="0.2">
      <c r="B5" s="25" t="s">
        <v>356</v>
      </c>
      <c r="C5" s="24" t="s">
        <v>359</v>
      </c>
      <c r="D5" s="19">
        <f>+NOMBRE!AG6</f>
        <v>0</v>
      </c>
    </row>
    <row r="6" spans="2:4" ht="31.5" customHeight="1" thickBot="1" x14ac:dyDescent="0.25">
      <c r="B6" s="51" t="s">
        <v>366</v>
      </c>
      <c r="C6" s="209" t="s">
        <v>365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360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361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362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NOVIEMBRE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363</v>
      </c>
      <c r="E5" s="147"/>
      <c r="F5" s="148"/>
      <c r="G5" s="148"/>
      <c r="H5" s="149"/>
    </row>
    <row r="6" spans="1:14" ht="27.75" customHeight="1" x14ac:dyDescent="0.2">
      <c r="B6" s="154" t="s">
        <v>364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GDI PEDRO DE VALDIVIA</cp:lastModifiedBy>
  <cp:revision/>
  <dcterms:created xsi:type="dcterms:W3CDTF">2007-01-29T23:37:08Z</dcterms:created>
  <dcterms:modified xsi:type="dcterms:W3CDTF">2025-12-03T18:39:55Z</dcterms:modified>
  <cp:category/>
  <cp:contentStatus/>
</cp:coreProperties>
</file>