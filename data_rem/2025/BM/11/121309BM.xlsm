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9 PUEBLO NUEVO\NOVIEMBRE\"/>
    </mc:Choice>
  </mc:AlternateContent>
  <xr:revisionPtr revIDLastSave="0" documentId="13_ncr:1_{64D5AEC7-F87E-4B75-89CE-CAA2F976B2CA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<sst xmlns="http://schemas.openxmlformats.org/spreadsheetml/2006/main" count="452" uniqueCount="397">
  <si>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</si>
  <si>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</si>
  <si>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</si>
  <si>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</si>
  <si>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</si>
  <si>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PUEBLO NUEVO</t>
  </si>
  <si>
    <t>MES:</t>
  </si>
  <si>
    <t>NOVIEMBRE</t>
  </si>
  <si>
    <t>AÑO:</t>
  </si>
  <si>
    <t xml:space="preserve"> </t>
  </si>
  <si>
    <t>Versión 1.2 Marzo 2025</t>
  </si>
  <si>
    <t>Director/a Servicio de Salud o Director/a Establecimiento</t>
  </si>
  <si>
    <t>SRA.MARCELA ELGUETA HORN</t>
  </si>
  <si>
    <t>ENERO</t>
  </si>
  <si>
    <t>Establecimiento de Mayor Complejidad (EMAYC)</t>
  </si>
  <si>
    <t>SERVICIO DE SALUD</t>
  </si>
  <si>
    <t>Jefe/a de Estadísticas</t>
  </si>
  <si>
    <t>SRA.EVELYN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</si>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</sst>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E10" sqref="E10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9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1</v>
      </c>
      <c r="D6" s="172">
        <v>1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38</v>
      </c>
      <c r="AB20" s="35" t="s">
        <v>39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7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21" zoomScaleNormal="100" workbookViewId="0">
      <selection activeCell="G57" sqref="G57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PUEBLO NUEVO  ( 121309 )</v>
      </c>
    </row>
    <row r="4" spans="1:6" x14ac:dyDescent="0.2">
      <c r="A4" s="50" t="str">
        <f>CONCATENATE("MES: ",NOMBRE!B6,"  ","( ",NOMBRE!C6,NOMBRE!D6," )")</f>
        <v>MES: NOVIEMBRE  ( 11 )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294"/>
      <c r="B25" s="310"/>
      <c r="C25" s="134" t="s">
        <v>92</v>
      </c>
      <c r="D25" s="80">
        <f>SUM(F25)</f>
        <v>0</v>
      </c>
      <c r="E25" s="100"/>
      <c r="F25" s="93"/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94"/>
      <c r="B27" s="310"/>
      <c r="C27" s="134" t="s">
        <v>92</v>
      </c>
      <c r="D27" s="80">
        <f t="shared" si="3"/>
        <v>0</v>
      </c>
      <c r="E27" s="92"/>
      <c r="F27" s="93"/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294"/>
      <c r="B29" s="310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294"/>
      <c r="B31" s="310"/>
      <c r="C31" s="134" t="s">
        <v>92</v>
      </c>
      <c r="D31" s="80">
        <f t="shared" si="3"/>
        <v>0</v>
      </c>
      <c r="E31" s="92"/>
      <c r="F31" s="93"/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0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21</v>
      </c>
      <c r="C43" s="83">
        <f>BM18A!D158</f>
        <v>0</v>
      </c>
      <c r="D43" s="83">
        <f>BM18A!E158</f>
        <v>21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428</v>
      </c>
      <c r="C46" s="83">
        <f>BM18A!D148</f>
        <v>0</v>
      </c>
      <c r="D46" s="83">
        <f>BM18A!E148</f>
        <v>428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10</v>
      </c>
      <c r="C48" s="83">
        <f>BM18A!D169</f>
        <v>0</v>
      </c>
      <c r="D48" s="83">
        <f>BM18A!E169</f>
        <v>10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253</v>
      </c>
      <c r="C50" s="79">
        <f>BM18A!D177</f>
        <v>0</v>
      </c>
      <c r="D50" s="79">
        <f>BM18A!E177</f>
        <v>253</v>
      </c>
    </row>
    <row r="51" spans="1:4" ht="16.5" customHeight="1" x14ac:dyDescent="0.2">
      <c r="A51" s="223" t="s">
        <v>110</v>
      </c>
      <c r="B51" s="90">
        <f t="shared" si="4"/>
        <v>2309</v>
      </c>
      <c r="C51" s="81">
        <f>BM18A!D206</f>
        <v>0</v>
      </c>
      <c r="D51" s="81">
        <f>BM18A!E206</f>
        <v>2309</v>
      </c>
    </row>
    <row r="52" spans="1:4" ht="17.25" customHeight="1" x14ac:dyDescent="0.2">
      <c r="A52" s="91" t="s">
        <v>67</v>
      </c>
      <c r="B52" s="77">
        <f>SUM(B42:B51)</f>
        <v>3021</v>
      </c>
      <c r="C52" s="77">
        <f>SUM(C42:C51)</f>
        <v>0</v>
      </c>
      <c r="D52" s="77">
        <f>SUM(D42:D51)</f>
        <v>3021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20</v>
      </c>
      <c r="D60" s="84"/>
    </row>
    <row r="61" spans="1:4" ht="16.5" customHeight="1" x14ac:dyDescent="0.2">
      <c r="A61" s="326"/>
      <c r="B61" s="12" t="s">
        <v>120</v>
      </c>
      <c r="C61" s="88"/>
      <c r="D61" s="85"/>
    </row>
    <row r="62" spans="1:4" ht="16.5" customHeight="1" x14ac:dyDescent="0.2">
      <c r="A62" s="327"/>
      <c r="B62" s="13" t="s">
        <v>121</v>
      </c>
      <c r="C62" s="89"/>
      <c r="D62" s="86"/>
    </row>
    <row r="96" spans="1:1" hidden="1" x14ac:dyDescent="0.2">
      <c r="A96" s="215">
        <f>SUM(D13:D37,B42:B52,B57,C60:C62)</f>
        <v>6062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36" zoomScaleNormal="100" workbookViewId="0">
      <selection activeCell="G151" sqref="G151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PUEBLO NUEVO  ( 121309 )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NOVIEMBRE  ( 11 )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388</v>
      </c>
      <c r="D143" s="194"/>
      <c r="E143" s="247">
        <v>388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38</v>
      </c>
      <c r="D144" s="195"/>
      <c r="E144" s="260">
        <v>38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2</v>
      </c>
      <c r="D145" s="196"/>
      <c r="E145" s="261">
        <v>2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45" t="s">
        <v>67</v>
      </c>
      <c r="B148" s="346"/>
      <c r="C148" s="159">
        <f>SUM(C143:C147)</f>
        <v>428</v>
      </c>
      <c r="D148" s="159">
        <f t="shared" ref="D148" si="16">SUM(D143:D147)</f>
        <v>0</v>
      </c>
      <c r="E148" s="263">
        <f>SUM(E143:E147)</f>
        <v>428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1</v>
      </c>
      <c r="D151" s="237"/>
      <c r="E151" s="113">
        <v>1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20</v>
      </c>
      <c r="D152" s="213"/>
      <c r="E152" s="114">
        <v>20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45" t="s">
        <v>67</v>
      </c>
      <c r="B158" s="346"/>
      <c r="C158" s="72">
        <f>SUM(C151:C157)</f>
        <v>21</v>
      </c>
      <c r="D158" s="212">
        <f t="shared" ref="D158:F158" si="18">SUM(D151:D157)</f>
        <v>0</v>
      </c>
      <c r="E158" s="256">
        <f t="shared" si="18"/>
        <v>21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10</v>
      </c>
      <c r="D168" s="227"/>
      <c r="E168" s="267">
        <v>10</v>
      </c>
      <c r="F168" s="265"/>
    </row>
    <row r="169" spans="1:6" ht="15" customHeight="1" x14ac:dyDescent="0.2">
      <c r="A169" s="345" t="s">
        <v>67</v>
      </c>
      <c r="B169" s="346"/>
      <c r="C169" s="155">
        <f>SUM(C167:C168)</f>
        <v>10</v>
      </c>
      <c r="D169" s="228">
        <f>SUM(D167:D168)</f>
        <v>0</v>
      </c>
      <c r="E169" s="268">
        <f>SUM(E167:E168)</f>
        <v>10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6</v>
      </c>
      <c r="D172" s="242"/>
      <c r="E172" s="113">
        <v>6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11</v>
      </c>
      <c r="D173" s="65"/>
      <c r="E173" s="114">
        <v>11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7</v>
      </c>
      <c r="D174" s="65"/>
      <c r="E174" s="114">
        <v>7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144</v>
      </c>
      <c r="D175" s="65"/>
      <c r="E175" s="114">
        <v>144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85</v>
      </c>
      <c r="D176" s="201"/>
      <c r="E176" s="270">
        <v>85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253</v>
      </c>
      <c r="D177" s="155">
        <f t="shared" ref="D177:E177" si="20">SUM(D172:D176)</f>
        <v>0</v>
      </c>
      <c r="E177" s="271">
        <f t="shared" si="20"/>
        <v>253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34</v>
      </c>
      <c r="D189" s="225"/>
      <c r="E189" s="266">
        <v>34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328</v>
      </c>
      <c r="D191" s="210"/>
      <c r="E191" s="255">
        <v>328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104</v>
      </c>
      <c r="D192" s="210"/>
      <c r="E192" s="255">
        <v>104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97</v>
      </c>
      <c r="D193" s="210"/>
      <c r="E193" s="255">
        <v>97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123</v>
      </c>
      <c r="D194" s="226"/>
      <c r="E194" s="277">
        <v>123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201</v>
      </c>
      <c r="D195" s="210"/>
      <c r="E195" s="255">
        <v>201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629</v>
      </c>
      <c r="D202" s="210"/>
      <c r="E202" s="255">
        <v>629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15</v>
      </c>
      <c r="D203" s="210"/>
      <c r="E203" s="255">
        <v>15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765</v>
      </c>
      <c r="D204" s="210"/>
      <c r="E204" s="255">
        <v>765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13</v>
      </c>
      <c r="D205" s="211"/>
      <c r="E205" s="255">
        <v>13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2309</v>
      </c>
      <c r="D206" s="212">
        <f t="shared" ref="D206:F206" si="24">SUM(D189:D205)</f>
        <v>0</v>
      </c>
      <c r="E206" s="256">
        <f t="shared" si="24"/>
        <v>2309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NOVIEMBRE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Marta Vega Muñoz</cp:lastModifiedBy>
  <cp:revision/>
  <dcterms:created xsi:type="dcterms:W3CDTF">2007-01-29T23:37:08Z</dcterms:created>
  <dcterms:modified xsi:type="dcterms:W3CDTF">2025-12-03T20:49:37Z</dcterms:modified>
  <cp:category/>
  <cp:contentStatus/>
</cp:coreProperties>
</file>