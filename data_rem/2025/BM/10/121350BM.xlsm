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arol.figueroa\Documents\REM 2025\LABRANZA\OCTUBRE\"/>
    </mc:Choice>
  </mc:AlternateContent>
  <xr:revisionPtr revIDLastSave="0" documentId="13_ncr:1_{A662CC00-1D3A-457A-9A29-E54309137166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 iterateDelta="1E-4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<sst xmlns="http://schemas.openxmlformats.org/spreadsheetml/2006/main" count="452" uniqueCount="397">
  <si>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</si>
  <si>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</si>
  <si>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</si>
  <si>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</si>
  <si>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</si>
  <si>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</si>
  <si>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</si>
  <si>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OCTUBRE</t>
  </si>
  <si>
    <t>AÑO:</t>
  </si>
  <si>
    <t xml:space="preserve"> </t>
  </si>
  <si>
    <t>Versión 1.2 Marzo 2025</t>
  </si>
  <si>
    <t>Director/a Servicio de Salud o Director/a Establecimiento</t>
  </si>
  <si>
    <t>SRA. SAMIRA GUZMAN HERRERA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</si>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</sst>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I11" sqref="I1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1</v>
      </c>
      <c r="D6" s="172">
        <v>0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21" zoomScaleNormal="100" workbookViewId="0">
      <selection activeCell="F25" sqref="F25:F31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</row>
    <row r="4" spans="1:6" x14ac:dyDescent="0.2">
      <c r="A4" s="50" t="str">
        <f>CONCATENATE("MES: ",NOMBRE!B6,"  ","( ",NOMBRE!C6,NOMBRE!D6," )")</f>
        <v>MES: OCTUBRE  ( 10 )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218</v>
      </c>
      <c r="E13" s="77">
        <f>SUM(E14:E20)</f>
        <v>0</v>
      </c>
      <c r="F13" s="77">
        <f>SUM(F14:F20)</f>
        <v>218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218</v>
      </c>
      <c r="E20" s="78">
        <f>BM18A!D88</f>
        <v>0</v>
      </c>
      <c r="F20" s="78">
        <f>BM18A!E88</f>
        <v>218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875</v>
      </c>
      <c r="E21" s="77">
        <f>SUM(E22+E23)</f>
        <v>0</v>
      </c>
      <c r="F21" s="77">
        <f>SUM(F22+F23)</f>
        <v>875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840</v>
      </c>
      <c r="E22" s="78">
        <f>SUM(BM18A!D92:D113)</f>
        <v>0</v>
      </c>
      <c r="F22" s="78">
        <f>SUM(BM18A!E92:E113)</f>
        <v>840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35</v>
      </c>
      <c r="E23" s="78">
        <f>SUM(BM18A!D114:D118)</f>
        <v>0</v>
      </c>
      <c r="F23" s="80">
        <f>SUM(BM18A!E114:E118)</f>
        <v>35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92</v>
      </c>
      <c r="D25" s="80">
        <f>SUM(F25)</f>
        <v>8</v>
      </c>
      <c r="E25" s="100"/>
      <c r="F25" s="93">
        <v>8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92</v>
      </c>
      <c r="D29" s="80">
        <f t="shared" si="3"/>
        <v>2</v>
      </c>
      <c r="E29" s="92"/>
      <c r="F29" s="93">
        <v>2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92</v>
      </c>
      <c r="D31" s="80">
        <f t="shared" si="3"/>
        <v>5</v>
      </c>
      <c r="E31" s="92"/>
      <c r="F31" s="93">
        <v>5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15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294"/>
      <c r="B35" s="310"/>
      <c r="C35" s="134" t="s">
        <v>92</v>
      </c>
      <c r="D35" s="81">
        <f>SUM(F35)</f>
        <v>2</v>
      </c>
      <c r="E35" s="92"/>
      <c r="F35" s="93">
        <v>2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295"/>
      <c r="B37" s="310"/>
      <c r="C37" s="134" t="s">
        <v>92</v>
      </c>
      <c r="D37" s="81">
        <f>SUM(F37)</f>
        <v>20</v>
      </c>
      <c r="E37" s="96"/>
      <c r="F37" s="97">
        <v>20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97</v>
      </c>
      <c r="C43" s="83">
        <f>BM18A!D158</f>
        <v>0</v>
      </c>
      <c r="D43" s="83">
        <f>BM18A!E158</f>
        <v>97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2</v>
      </c>
      <c r="C45" s="79">
        <f>SUM(BM18A!D132:D139)</f>
        <v>0</v>
      </c>
      <c r="D45" s="79">
        <f>SUM(BM18A!E132:E139)</f>
        <v>2</v>
      </c>
    </row>
    <row r="46" spans="1:6" ht="16.5" customHeight="1" x14ac:dyDescent="0.2">
      <c r="A46" s="90" t="s">
        <v>105</v>
      </c>
      <c r="B46" s="79">
        <f t="shared" si="4"/>
        <v>219</v>
      </c>
      <c r="C46" s="83">
        <f>BM18A!D148</f>
        <v>0</v>
      </c>
      <c r="D46" s="83">
        <f>BM18A!E148</f>
        <v>219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3</v>
      </c>
      <c r="C48" s="83">
        <f>BM18A!D169</f>
        <v>0</v>
      </c>
      <c r="D48" s="83">
        <f>BM18A!E169</f>
        <v>3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268</v>
      </c>
      <c r="C50" s="79">
        <f>BM18A!D177</f>
        <v>0</v>
      </c>
      <c r="D50" s="79">
        <f>BM18A!E177</f>
        <v>268</v>
      </c>
    </row>
    <row r="51" spans="1:4" ht="16.5" customHeight="1" x14ac:dyDescent="0.2">
      <c r="A51" s="223" t="s">
        <v>110</v>
      </c>
      <c r="B51" s="90">
        <f t="shared" si="4"/>
        <v>2873</v>
      </c>
      <c r="C51" s="81">
        <f>BM18A!D206</f>
        <v>0</v>
      </c>
      <c r="D51" s="81">
        <f>BM18A!E206</f>
        <v>2873</v>
      </c>
    </row>
    <row r="52" spans="1:4" ht="17.25" customHeight="1" x14ac:dyDescent="0.2">
      <c r="A52" s="91" t="s">
        <v>67</v>
      </c>
      <c r="B52" s="77">
        <f>SUM(B42:B51)</f>
        <v>3462</v>
      </c>
      <c r="C52" s="77">
        <f>SUM(C42:C51)</f>
        <v>0</v>
      </c>
      <c r="D52" s="77">
        <f>SUM(D42:D51)</f>
        <v>3462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160</v>
      </c>
      <c r="D60" s="84"/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9322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84" zoomScaleNormal="100" workbookViewId="0">
      <selection activeCell="H101" sqref="H101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OCTUBRE  ( 10 )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218</v>
      </c>
      <c r="D83" s="65"/>
      <c r="E83" s="114">
        <v>218</v>
      </c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67</v>
      </c>
      <c r="B88" s="346"/>
      <c r="C88" s="160">
        <f>SUM(C81:C87)</f>
        <v>218</v>
      </c>
      <c r="D88" s="156">
        <f>SUM(D81:D87)</f>
        <v>0</v>
      </c>
      <c r="E88" s="157">
        <f>SUM(E81:E87)</f>
        <v>218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218</v>
      </c>
      <c r="D89" s="156">
        <f>+D20+D43+D49+D54+D73+D78+D88</f>
        <v>0</v>
      </c>
      <c r="E89" s="157">
        <f>+E20+E43+E49+E54+E73+E78+E88</f>
        <v>218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118</v>
      </c>
      <c r="D95" s="65"/>
      <c r="E95" s="114">
        <v>118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22</v>
      </c>
      <c r="D99" s="65"/>
      <c r="E99" s="114">
        <v>22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7</v>
      </c>
      <c r="D100" s="65"/>
      <c r="E100" s="114">
        <v>7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2</v>
      </c>
      <c r="D101" s="65"/>
      <c r="E101" s="114">
        <v>2</v>
      </c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50</v>
      </c>
      <c r="D102" s="65"/>
      <c r="E102" s="114">
        <v>50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79</v>
      </c>
      <c r="D103" s="65"/>
      <c r="E103" s="114">
        <v>79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1</v>
      </c>
      <c r="D104" s="65"/>
      <c r="E104" s="114">
        <v>1</v>
      </c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6</v>
      </c>
      <c r="D105" s="65"/>
      <c r="E105" s="114">
        <v>6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7</v>
      </c>
      <c r="D106" s="65"/>
      <c r="E106" s="114">
        <v>7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83</v>
      </c>
      <c r="D107" s="65"/>
      <c r="E107" s="114">
        <v>83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45</v>
      </c>
      <c r="D109" s="65"/>
      <c r="E109" s="114">
        <v>45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5</v>
      </c>
      <c r="D110" s="65"/>
      <c r="E110" s="114">
        <v>5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206</v>
      </c>
      <c r="D111" s="65"/>
      <c r="E111" s="114">
        <v>206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5</v>
      </c>
      <c r="D112" s="65"/>
      <c r="E112" s="114">
        <v>5</v>
      </c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204</v>
      </c>
      <c r="D113" s="65"/>
      <c r="E113" s="114">
        <v>204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15</v>
      </c>
      <c r="D114" s="65"/>
      <c r="E114" s="114">
        <v>15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20</v>
      </c>
      <c r="D115" s="65"/>
      <c r="E115" s="114">
        <v>20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2</v>
      </c>
      <c r="D135" s="189"/>
      <c r="E135" s="255">
        <v>2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67</v>
      </c>
      <c r="B140" s="346"/>
      <c r="C140" s="72">
        <f>SUM(C131:C139)</f>
        <v>2</v>
      </c>
      <c r="D140" s="72">
        <f t="shared" ref="D140:F140" si="15">SUM(D131:D139)</f>
        <v>0</v>
      </c>
      <c r="E140" s="256">
        <f t="shared" si="15"/>
        <v>2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219</v>
      </c>
      <c r="D143" s="194"/>
      <c r="E143" s="247">
        <v>219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67</v>
      </c>
      <c r="B148" s="346"/>
      <c r="C148" s="159">
        <f>SUM(C143:C147)</f>
        <v>219</v>
      </c>
      <c r="D148" s="159">
        <f t="shared" ref="D148" si="16">SUM(D143:D147)</f>
        <v>0</v>
      </c>
      <c r="E148" s="263">
        <f>SUM(E143:E147)</f>
        <v>219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25</v>
      </c>
      <c r="D151" s="237"/>
      <c r="E151" s="113">
        <v>25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22</v>
      </c>
      <c r="D152" s="213"/>
      <c r="E152" s="114">
        <v>22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49</v>
      </c>
      <c r="D154" s="214"/>
      <c r="E154" s="115">
        <v>49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1</v>
      </c>
      <c r="D156" s="210"/>
      <c r="E156" s="255">
        <v>1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45" t="s">
        <v>67</v>
      </c>
      <c r="B158" s="346"/>
      <c r="C158" s="72">
        <f>SUM(C151:C157)</f>
        <v>97</v>
      </c>
      <c r="D158" s="212">
        <f t="shared" ref="D158:F158" si="18">SUM(D151:D157)</f>
        <v>0</v>
      </c>
      <c r="E158" s="256">
        <f t="shared" si="18"/>
        <v>97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3</v>
      </c>
      <c r="D167" s="240"/>
      <c r="E167" s="266">
        <v>3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45" t="s">
        <v>67</v>
      </c>
      <c r="B169" s="346"/>
      <c r="C169" s="155">
        <f>SUM(C167:C168)</f>
        <v>3</v>
      </c>
      <c r="D169" s="228">
        <f>SUM(D167:D168)</f>
        <v>0</v>
      </c>
      <c r="E169" s="268">
        <f>SUM(E167:E168)</f>
        <v>3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21</v>
      </c>
      <c r="D172" s="242"/>
      <c r="E172" s="113">
        <v>21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11</v>
      </c>
      <c r="D173" s="65"/>
      <c r="E173" s="114">
        <v>11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13</v>
      </c>
      <c r="D174" s="65"/>
      <c r="E174" s="114">
        <v>13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101</v>
      </c>
      <c r="D175" s="65"/>
      <c r="E175" s="114">
        <v>101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122</v>
      </c>
      <c r="D176" s="201"/>
      <c r="E176" s="270">
        <v>122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268</v>
      </c>
      <c r="D177" s="155">
        <f t="shared" ref="D177:E177" si="20">SUM(D172:D176)</f>
        <v>0</v>
      </c>
      <c r="E177" s="271">
        <f t="shared" si="20"/>
        <v>268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836</v>
      </c>
      <c r="D189" s="225"/>
      <c r="E189" s="266">
        <v>836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303</v>
      </c>
      <c r="D191" s="210"/>
      <c r="E191" s="255">
        <v>303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85</v>
      </c>
      <c r="D192" s="210"/>
      <c r="E192" s="255">
        <v>85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93</v>
      </c>
      <c r="D193" s="210"/>
      <c r="E193" s="255">
        <v>93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127</v>
      </c>
      <c r="D194" s="226"/>
      <c r="E194" s="277">
        <v>127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290</v>
      </c>
      <c r="D195" s="210"/>
      <c r="E195" s="255">
        <v>290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508</v>
      </c>
      <c r="D202" s="210"/>
      <c r="E202" s="255">
        <v>508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32</v>
      </c>
      <c r="D203" s="210"/>
      <c r="E203" s="255">
        <v>32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567</v>
      </c>
      <c r="D204" s="210"/>
      <c r="E204" s="255">
        <v>567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32</v>
      </c>
      <c r="D205" s="211"/>
      <c r="E205" s="255">
        <v>32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2873</v>
      </c>
      <c r="D206" s="212">
        <f t="shared" ref="D206:F206" si="24">SUM(D189:D205)</f>
        <v>0</v>
      </c>
      <c r="E206" s="256">
        <f t="shared" si="24"/>
        <v>2873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OCTUBRE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Carol Figueroa</cp:lastModifiedBy>
  <cp:revision/>
  <dcterms:created xsi:type="dcterms:W3CDTF">2007-01-29T23:37:08Z</dcterms:created>
  <dcterms:modified xsi:type="dcterms:W3CDTF">2026-02-23T15:53:58Z</dcterms:modified>
  <cp:category/>
  <cp:contentStatus/>
</cp:coreProperties>
</file>