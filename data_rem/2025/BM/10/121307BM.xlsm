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OCTUBRE\"/>
    </mc:Choice>
  </mc:AlternateContent>
  <xr:revisionPtr revIDLastSave="0" documentId="13_ncr:1_{29F1DA58-A52B-4740-AF17-7400729B025F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1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<sst xmlns="http://schemas.openxmlformats.org/spreadsheetml/2006/main" count="452" uniqueCount="397">
  <si>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</si>
  <si>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</si>
  <si>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</si>
  <si>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</si>
  <si>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</si>
  <si>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</si>
  <si>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</si>
  <si>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OCTUBRE</t>
  </si>
  <si>
    <t>AÑO:</t>
  </si>
  <si>
    <t xml:space="preserve"> </t>
  </si>
  <si>
    <t>Versión 1.2 Marzo 2025</t>
  </si>
  <si>
    <t>Director/a Servicio de Salud o Director/a Establecimiento</t>
  </si>
  <si>
    <t>SR. JORGE VALENZUELA VASQUEZ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</si>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</sst>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0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>
      <selection activeCell="F42" sqref="F42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</row>
    <row r="4" spans="1:6" x14ac:dyDescent="0.2">
      <c r="A4" s="50" t="str">
        <f>CONCATENATE("MES: ",NOMBRE!B6,"  ","( ",NOMBRE!C6,NOMBRE!D6," )")</f>
        <v>MES: OCTUBRE  ( 10 )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32</v>
      </c>
      <c r="E21" s="77">
        <f>SUM(E22+E23)</f>
        <v>0</v>
      </c>
      <c r="F21" s="77">
        <f>SUM(F22+F23)</f>
        <v>32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32</v>
      </c>
      <c r="E23" s="78">
        <f>SUM(BM18A!D114:D118)</f>
        <v>0</v>
      </c>
      <c r="F23" s="80">
        <f>SUM(BM18A!E114:E118)</f>
        <v>32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12</v>
      </c>
      <c r="E25" s="100"/>
      <c r="F25" s="93">
        <v>12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5</v>
      </c>
      <c r="E27" s="92"/>
      <c r="F27" s="93">
        <v>5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1</v>
      </c>
      <c r="E29" s="92"/>
      <c r="F29" s="93">
        <v>1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14</v>
      </c>
      <c r="E31" s="92"/>
      <c r="F31" s="93">
        <v>14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32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2</v>
      </c>
      <c r="E35" s="92"/>
      <c r="F35" s="93">
        <v>2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3</v>
      </c>
      <c r="E37" s="96"/>
      <c r="F37" s="97">
        <v>3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68</v>
      </c>
      <c r="C43" s="83">
        <f>BM18A!D158</f>
        <v>0</v>
      </c>
      <c r="D43" s="83">
        <f>BM18A!E158</f>
        <v>68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50</v>
      </c>
      <c r="C45" s="79">
        <f>SUM(BM18A!D132:D139)</f>
        <v>0</v>
      </c>
      <c r="D45" s="79">
        <f>SUM(BM18A!E132:E139)</f>
        <v>50</v>
      </c>
    </row>
    <row r="46" spans="1:6" ht="16.5" customHeight="1" x14ac:dyDescent="0.2">
      <c r="A46" s="90" t="s">
        <v>105</v>
      </c>
      <c r="B46" s="79">
        <f t="shared" si="4"/>
        <v>493</v>
      </c>
      <c r="C46" s="83">
        <f>BM18A!D148</f>
        <v>0</v>
      </c>
      <c r="D46" s="83">
        <f>BM18A!E148</f>
        <v>493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9</v>
      </c>
      <c r="C48" s="83">
        <f>BM18A!D169</f>
        <v>0</v>
      </c>
      <c r="D48" s="83">
        <f>BM18A!E169</f>
        <v>9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246</v>
      </c>
      <c r="C50" s="79">
        <f>BM18A!D177</f>
        <v>0</v>
      </c>
      <c r="D50" s="79">
        <f>BM18A!E177</f>
        <v>246</v>
      </c>
    </row>
    <row r="51" spans="1:4" ht="16.5" customHeight="1" x14ac:dyDescent="0.2">
      <c r="A51" s="223" t="s">
        <v>110</v>
      </c>
      <c r="B51" s="90">
        <f t="shared" si="4"/>
        <v>4943</v>
      </c>
      <c r="C51" s="81">
        <f>BM18A!D206</f>
        <v>0</v>
      </c>
      <c r="D51" s="81">
        <f>BM18A!E206</f>
        <v>4943</v>
      </c>
    </row>
    <row r="52" spans="1:4" ht="17.25" customHeight="1" x14ac:dyDescent="0.2">
      <c r="A52" s="91" t="s">
        <v>67</v>
      </c>
      <c r="B52" s="77">
        <f>SUM(B42:B51)</f>
        <v>5809</v>
      </c>
      <c r="C52" s="77">
        <f>SUM(C42:C51)</f>
        <v>0</v>
      </c>
      <c r="D52" s="77">
        <f>SUM(D42:D51)</f>
        <v>5809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25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11776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93" zoomScaleNormal="100" workbookViewId="0">
      <selection activeCell="J194" sqref="J194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OCTUBRE  ( 10 )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32</v>
      </c>
      <c r="D114" s="65"/>
      <c r="E114" s="114">
        <v>32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15</v>
      </c>
      <c r="D132" s="205"/>
      <c r="E132" s="254">
        <v>15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15</v>
      </c>
      <c r="D133" s="189"/>
      <c r="E133" s="255">
        <v>15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4</v>
      </c>
      <c r="D136" s="189"/>
      <c r="E136" s="255">
        <v>4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8</v>
      </c>
      <c r="D137" s="189"/>
      <c r="E137" s="255">
        <v>8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1</v>
      </c>
      <c r="D138" s="189"/>
      <c r="E138" s="255">
        <v>1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7</v>
      </c>
      <c r="D139" s="189"/>
      <c r="E139" s="255">
        <v>7</v>
      </c>
      <c r="F139" s="251"/>
    </row>
    <row r="140" spans="1:6" ht="15" customHeight="1" x14ac:dyDescent="0.2">
      <c r="A140" s="334" t="s">
        <v>67</v>
      </c>
      <c r="B140" s="336"/>
      <c r="C140" s="72">
        <f>SUM(C131:C139)</f>
        <v>50</v>
      </c>
      <c r="D140" s="72">
        <f t="shared" ref="D140:F140" si="15">SUM(D131:D139)</f>
        <v>0</v>
      </c>
      <c r="E140" s="256">
        <f t="shared" si="15"/>
        <v>50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493</v>
      </c>
      <c r="D143" s="194"/>
      <c r="E143" s="247">
        <v>493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>
        <v>0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67</v>
      </c>
      <c r="B148" s="336"/>
      <c r="C148" s="159">
        <f>SUM(C143:C147)</f>
        <v>493</v>
      </c>
      <c r="D148" s="159">
        <f t="shared" ref="D148" si="16">SUM(D143:D147)</f>
        <v>0</v>
      </c>
      <c r="E148" s="263">
        <f>SUM(E143:E147)</f>
        <v>493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1</v>
      </c>
      <c r="D151" s="237"/>
      <c r="E151" s="113">
        <v>1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42</v>
      </c>
      <c r="D152" s="213"/>
      <c r="E152" s="114">
        <v>42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9</v>
      </c>
      <c r="D154" s="214"/>
      <c r="E154" s="115">
        <v>9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16</v>
      </c>
      <c r="D157" s="211"/>
      <c r="E157" s="262">
        <v>16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68</v>
      </c>
      <c r="D158" s="212">
        <f t="shared" ref="D158:F158" si="18">SUM(D151:D157)</f>
        <v>0</v>
      </c>
      <c r="E158" s="256">
        <f t="shared" si="18"/>
        <v>68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3</v>
      </c>
      <c r="D167" s="240"/>
      <c r="E167" s="266">
        <v>3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6</v>
      </c>
      <c r="D168" s="227"/>
      <c r="E168" s="267">
        <v>6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9</v>
      </c>
      <c r="D169" s="228">
        <f>SUM(D167:D168)</f>
        <v>0</v>
      </c>
      <c r="E169" s="268">
        <f>SUM(E167:E168)</f>
        <v>9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8</v>
      </c>
      <c r="D172" s="242"/>
      <c r="E172" s="113">
        <v>8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</v>
      </c>
      <c r="D173" s="65"/>
      <c r="E173" s="114">
        <v>1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7</v>
      </c>
      <c r="D174" s="65"/>
      <c r="E174" s="114">
        <v>7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143</v>
      </c>
      <c r="D175" s="65"/>
      <c r="E175" s="114">
        <v>143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87</v>
      </c>
      <c r="D176" s="201"/>
      <c r="E176" s="270">
        <v>87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246</v>
      </c>
      <c r="D177" s="155">
        <f t="shared" ref="D177:E177" si="20">SUM(D172:D176)</f>
        <v>0</v>
      </c>
      <c r="E177" s="271">
        <f t="shared" si="20"/>
        <v>246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878</v>
      </c>
      <c r="D189" s="225"/>
      <c r="E189" s="266">
        <v>878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263</v>
      </c>
      <c r="D191" s="210"/>
      <c r="E191" s="255">
        <v>263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300</v>
      </c>
      <c r="D192" s="210"/>
      <c r="E192" s="255">
        <v>300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220</v>
      </c>
      <c r="D193" s="210"/>
      <c r="E193" s="255">
        <v>220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180</v>
      </c>
      <c r="D194" s="226"/>
      <c r="E194" s="277">
        <v>180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481</v>
      </c>
      <c r="D195" s="210"/>
      <c r="E195" s="255">
        <v>481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1</v>
      </c>
      <c r="D197" s="210"/>
      <c r="E197" s="255">
        <v>1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817</v>
      </c>
      <c r="D202" s="210"/>
      <c r="E202" s="255">
        <v>817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16</v>
      </c>
      <c r="D203" s="210"/>
      <c r="E203" s="255">
        <v>16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1743</v>
      </c>
      <c r="D204" s="210"/>
      <c r="E204" s="255">
        <v>1743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44</v>
      </c>
      <c r="D205" s="211"/>
      <c r="E205" s="255">
        <v>44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4943</v>
      </c>
      <c r="D206" s="212">
        <f t="shared" ref="D206:F206" si="24">SUM(D189:D205)</f>
        <v>0</v>
      </c>
      <c r="E206" s="256">
        <f t="shared" si="24"/>
        <v>4943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OCTUBRE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2025-11-06T15:16:39Z</dcterms:modified>
  <cp:category/>
  <cp:contentStatus/>
</cp:coreProperties>
</file>