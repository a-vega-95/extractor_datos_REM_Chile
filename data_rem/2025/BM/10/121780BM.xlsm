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A 2025\10 - Octubre 2025\CECOSF EL SALAR\"/>
    </mc:Choice>
  </mc:AlternateContent>
  <xr:revisionPtr revIDLastSave="0" documentId="13_ncr:1_{0E9871E0-F5DB-4611-92F9-03A54286C50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<sst xmlns="http://schemas.openxmlformats.org/spreadsheetml/2006/main" count="452" uniqueCount="397">
  <si>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</si>
  <si>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</si>
  <si>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</si>
  <si>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</si>
  <si>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</si>
  <si>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</si>
  <si>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</si>
  <si>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</si>
  <si>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</si>
  <si>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</si>
  <si>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</si>
  <si>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</si>
  <si>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</si>
  <si>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</si>
  <si>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</si>
  <si>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</si>
  <si>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</si>
  <si>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</si>
  <si>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</si>
  <si>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</si>
  <si>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</si>
  <si>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</si>
  <si>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</si>
  <si>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</si>
  <si>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</si>
  <si>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</si>
  <si>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</si>
  <si>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</si>
  <si>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</si>
  <si>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</si>
  <si>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</si>
  <si>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</si>
  <si>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</si>
  <si>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</si>
  <si>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</si>
  <si>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</si>
  <si>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</si>
  <si>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</si>
  <si>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</si>
  <si>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</si>
  <si>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</si>
  <si>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</si>
  <si>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</si>
  <si>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</si>
  <si>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</si>
  <si>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</si>
  <si>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</si>
  <si>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</si>
  <si>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</si>
  <si>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</si>
  <si>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</si>
  <si>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</si>
  <si>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</si>
  <si>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</si>
  <si>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</si>
  <si>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</si>
  <si>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</si>
  <si>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</si>
  <si>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</si>
  <si>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</si>
  <si>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</si>
  <si>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</si>
  <si>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</si>
  <si>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</si>
  <si>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</si>
  <si>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</si>
  <si>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</si>
  <si>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</si>
  <si>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</si>
  <si>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</si>
  <si>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</si>
  <si>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</si>
  <si>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</si>
  <si>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</si>
  <si>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</si>
  <si>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</si>
  <si>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</si>
  <si>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</si>
  <si>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</si>
  <si>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</si>
  <si>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</si>
  <si>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</si>
  <si>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</si>
  <si>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</si>
  <si>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</si>
  <si>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</si>
  <si>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</si>
  <si>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</si>
  <si>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</si>
  <si>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</si>
  <si>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</si>
  <si>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</si>
  <si>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</si>
  <si>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</si>
  <si>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</si>
  <si>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</si>
  <si>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</si>
  <si>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</si>
  <si>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</si>
  <si>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</si>
  <si>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</si>
  <si>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</si>
  <si>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</si>
  <si>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</si>
  <si>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</si>
  <si>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</si>
  <si>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</si>
  <si>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</si>
  <si>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</si>
  <si>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</si>
  <si>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</si>
  <si>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</si>
  <si>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</si>
  <si>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</si>
  <si>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</si>
  <si>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</si>
  <si>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</si>
  <si>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</si>
  <si>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</si>
  <si>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</si>
  <si>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</si>
  <si>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</si>
  <si>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</si>
  <si>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</si>
  <si>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</si>
  <si>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</si>
  <si>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</si>
  <si>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</si>
  <si>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</si>
  <si>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</si>
  <si>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</si>
  <si>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</si>
  <si>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</si>
  <si>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</si>
  <si>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</si>
  <si>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</si>
  <si>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</si>
  <si>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</si>
  <si>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</si>
  <si>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</si>
  <si>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</si>
  <si>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</si>
  <si>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</si>
  <si>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</si>
  <si>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</si>
  <si>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</si>
  <si>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</si>
  <si>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</si>
  <si>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</si>
  <si>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</si>
  <si>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</si>
  <si>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</si>
  <si>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</si>
  <si>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</si>
  <si>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</si>
  <si>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</si>
  <si>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</si>
  <si>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</si>
  <si>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</si>
  <si>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</si>
  <si>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</si>
  <si>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</si>
  <si>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</si>
  <si>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</si>
  <si>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</si>
  <si>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</si>
  <si>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</si>
  <si>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</si>
  <si>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</si>
  <si>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</si>
  <si>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</si>
  <si>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</si>
  <si>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</si>
  <si>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</si>
  <si>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</si>
  <si>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</si>
  <si>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</si>
  <si>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</si>
  <si>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</si>
  <si>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</si>
  <si>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</si>
  <si>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</si>
  <si>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</si>
  <si>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</si>
  <si>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</si>
  <si>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</si>
  <si>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</si>
  <si>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</si>
  <si>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</si>
  <si>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</si>
  <si>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</si>
  <si>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</si>
  <si>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</si>
  <si>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</si>
  <si>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</si>
  <si>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</si>
  <si>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</si>
  <si>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</si>
  <si>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</si>
  <si>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</si>
  <si>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</si>
  <si>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</si>
  <si>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</si>
  <si>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</si>
  <si>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</si>
  <si>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</si>
  <si>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</si>
  <si>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</si>
  <si>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</si>
  <si>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</si>
  <si>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</si>
  <si>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</si>
  <si>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</si>
  <si>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</si>
  <si>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</si>
  <si>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</si>
  <si>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</si>
  <si>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</si>
  <si>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</si>
  <si>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</si>
  <si>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</si>
  <si>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</si>
  <si>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</si>
  <si>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</si>
  <si>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</si>
  <si>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</si>
  <si>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</si>
  <si>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</si>
  <si>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</si>
  <si>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</si>
  <si>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</si>
  <si>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</si>
  <si>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</si>
  <si>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</si>
  <si>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</si>
  <si>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</si>
  <si>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</si>
  <si>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</si>
  <si>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</si>
  <si>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</si>
  <si>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</si>
  <si>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</si>
  <si>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</si>
  <si>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</si>
  <si>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</si>
  <si>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</si>
  <si>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</si>
  <si>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</si>
  <si>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</si>
  <si>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</si>
  <si>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</si>
  <si>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</si>
  <si>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</si>
  <si>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</si>
  <si>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</si>
  <si>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</si>
  <si>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</si>
  <si>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</si>
  <si>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</si>
  <si>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</si>
  <si>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</si>
  <si>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</si>
  <si>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</si>
  <si>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</si>
  <si>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</si>
  <si>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</si>
  <si>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</si>
  <si>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</si>
  <si>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</si>
  <si>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</si>
  <si>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</si>
  <si>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</si>
  <si>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</si>
  <si>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</si>
  <si>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</si>
  <si>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</si>
  <si>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</si>
  <si>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</si>
  <si>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</si>
  <si>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</si>
  <si>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</si>
  <si>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</si>
  <si>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</si>
  <si>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</si>
  <si>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</si>
  <si>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</si>
  <si>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</si>
  <si>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</si>
  <si>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</si>
  <si>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</si>
  <si>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</si>
  <si>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</si>
  <si>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</si>
  <si>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</si>
  <si>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</si>
  <si>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</si>
  <si>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</si>
  <si>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</si>
  <si>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</si>
  <si>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</si>
  <si>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</si>
  <si>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</si>
  <si>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</si>
  <si>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</si>
  <si>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</si>
  <si>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</si>
  <si>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</si>
  <si>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</si>
  <si>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</si>
  <si>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</si>
  <si>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</si>
  <si>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</si>
  <si>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</si>
  <si>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</si>
  <si>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</si>
  <si>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</si>
  <si>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</si>
  <si>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</si>
  <si>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</si>
  <si>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</si>
  <si>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</si>
  <si>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</si>
  <si>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</si>
  <si>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</si>
  <si>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</si>
  <si>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</si>
  <si>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</si>
  <si>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</si>
  <si>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</si>
  <si>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</si>
  <si>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</si>
  <si>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</si>
  <si>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</si>
  <si>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</si>
  <si>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</si>
  <si>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</si>
  <si>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</si>
  <si>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</si>
  <si>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</si>
  <si>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</si>
  <si>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</si>
  <si>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</si>
  <si>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</si>
  <si>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</si>
  <si>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</si>
  <si>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</si>
  <si>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</si>
  <si>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</si>
  <si>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</si>
  <si>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</si>
  <si>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</si>
  <si>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</si>
  <si>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</si>
  <si>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</si>
  <si>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</si>
  <si>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</si>
  <si>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</si>
  <si>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</si>
  <si>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</si>
  <si>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</si>
  <si>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</si>
  <si>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</si>
  <si>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</si>
  <si>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</si>
  <si>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</si>
  <si>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</si>
  <si>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</si>
  <si>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</si>
  <si>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</si>
  <si>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</si>
  <si>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</si>
  <si>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</si>
  <si>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</si>
  <si>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</si>
  <si>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</si>
  <si>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</si>
  <si>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</si>
  <si>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</si>
  <si>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</si>
  <si>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</si>
  <si>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</si>
  <si>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</si>
  <si>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</si>
  <si>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</si>
  <si>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</si>
  <si>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</si>
  <si>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</si>
  <si>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</si>
  <si>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</si>
  <si>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</si>
  <si>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</si>
  <si>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</si>
  <si>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</si>
  <si>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</si>
  <si>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EVELYN SOTO SAAVEDRA</t>
  </si>
  <si>
    <t>JAVIERA AGUIRRE HUECHUCURA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</si>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</sst>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32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394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1" zoomScale="77" zoomScaleNormal="77" workbookViewId="0">
      <selection activeCell="F27" sqref="F2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59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60</v>
      </c>
      <c r="B10" s="325"/>
      <c r="C10" s="325"/>
    </row>
    <row r="11" spans="1:6" ht="12.75" customHeight="1" x14ac:dyDescent="0.2">
      <c r="A11" s="326" t="s">
        <v>61</v>
      </c>
      <c r="B11" s="327"/>
      <c r="C11" s="328"/>
      <c r="D11" s="320" t="s">
        <v>62</v>
      </c>
      <c r="E11" s="320" t="s">
        <v>63</v>
      </c>
      <c r="F11" s="292" t="s">
        <v>64</v>
      </c>
    </row>
    <row r="12" spans="1:6" ht="21.75" customHeight="1" x14ac:dyDescent="0.2">
      <c r="A12" s="329"/>
      <c r="B12" s="330"/>
      <c r="C12" s="331"/>
      <c r="D12" s="322"/>
      <c r="E12" s="322" t="s">
        <v>65</v>
      </c>
      <c r="F12" s="293" t="s">
        <v>65</v>
      </c>
    </row>
    <row r="13" spans="1:6" ht="20.25" customHeight="1" x14ac:dyDescent="0.2">
      <c r="A13" s="43" t="s">
        <v>66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332" t="s">
        <v>68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6" t="s">
        <v>70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6" t="s">
        <v>72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6" t="s">
        <v>74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6" t="s">
        <v>76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04" t="s">
        <v>78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0" t="s">
        <v>80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81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12" t="s">
        <v>83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84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87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87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93</v>
      </c>
      <c r="C36" s="133" t="s">
        <v>86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2" t="s">
        <v>94</v>
      </c>
      <c r="B40" s="292" t="s">
        <v>62</v>
      </c>
      <c r="C40" s="320" t="s">
        <v>63</v>
      </c>
      <c r="D40" s="292" t="s">
        <v>64</v>
      </c>
    </row>
    <row r="41" spans="1:6" ht="25.5" customHeight="1" x14ac:dyDescent="0.2">
      <c r="A41" s="293"/>
      <c r="B41" s="294"/>
      <c r="C41" s="322" t="s">
        <v>65</v>
      </c>
      <c r="D41" s="293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99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32</v>
      </c>
      <c r="C50" s="79">
        <f>BM18A!D177</f>
        <v>0</v>
      </c>
      <c r="D50" s="79">
        <f>BM18A!E177</f>
        <v>32</v>
      </c>
    </row>
    <row r="51" spans="1:4" ht="16.5" customHeight="1" x14ac:dyDescent="0.2">
      <c r="A51" s="223" t="s">
        <v>104</v>
      </c>
      <c r="B51" s="90">
        <f t="shared" si="4"/>
        <v>338</v>
      </c>
      <c r="C51" s="81">
        <f>BM18A!D206</f>
        <v>0</v>
      </c>
      <c r="D51" s="81">
        <f>BM18A!E206</f>
        <v>338</v>
      </c>
    </row>
    <row r="52" spans="1:4" ht="17.25" customHeight="1" x14ac:dyDescent="0.2">
      <c r="A52" s="91" t="s">
        <v>62</v>
      </c>
      <c r="B52" s="77">
        <f>SUM(B42:B51)</f>
        <v>370</v>
      </c>
      <c r="C52" s="77">
        <f>SUM(C42:C51)</f>
        <v>0</v>
      </c>
      <c r="D52" s="77">
        <f>SUM(D42:D51)</f>
        <v>370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02" t="s">
        <v>106</v>
      </c>
      <c r="B55" s="300" t="s">
        <v>62</v>
      </c>
    </row>
    <row r="56" spans="1:4" x14ac:dyDescent="0.2">
      <c r="A56" s="303"/>
      <c r="B56" s="30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298" t="s">
        <v>109</v>
      </c>
      <c r="B59" s="299"/>
      <c r="C59" s="103" t="s">
        <v>110</v>
      </c>
      <c r="D59" s="104" t="s">
        <v>111</v>
      </c>
    </row>
    <row r="60" spans="1:4" ht="16.5" customHeight="1" x14ac:dyDescent="0.2">
      <c r="A60" s="295" t="s">
        <v>112</v>
      </c>
      <c r="B60" s="208" t="s">
        <v>113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114</v>
      </c>
      <c r="C61" s="88"/>
      <c r="D61" s="85"/>
    </row>
    <row r="62" spans="1:4" ht="16.5" customHeight="1" x14ac:dyDescent="0.2">
      <c r="A62" s="297"/>
      <c r="B62" s="13" t="s">
        <v>115</v>
      </c>
      <c r="C62" s="89"/>
      <c r="D62" s="86"/>
    </row>
    <row r="96" spans="1:1" hidden="1" x14ac:dyDescent="0.2">
      <c r="A96" s="215">
        <f>SUM(D13:D37,B42:B52,B57,C60:C62)</f>
        <v>740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57" zoomScale="80" zoomScaleNormal="80" workbookViewId="0">
      <selection activeCell="I180" sqref="I180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116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56" t="s">
        <v>1</v>
      </c>
      <c r="B10" s="352" t="s">
        <v>61</v>
      </c>
      <c r="C10" s="354" t="s">
        <v>62</v>
      </c>
      <c r="D10" s="352" t="s">
        <v>63</v>
      </c>
      <c r="E10" s="357" t="s">
        <v>64</v>
      </c>
      <c r="F10" s="352" t="s">
        <v>117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118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62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131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62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164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62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74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62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76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62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384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62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62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218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219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368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94</v>
      </c>
      <c r="C121" s="352" t="s">
        <v>65</v>
      </c>
      <c r="D121" s="352" t="s">
        <v>63</v>
      </c>
      <c r="E121" s="357" t="s">
        <v>64</v>
      </c>
      <c r="F121" s="354" t="s">
        <v>117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274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62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369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62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288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62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294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62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305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62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310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311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62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313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2</v>
      </c>
      <c r="D172" s="242"/>
      <c r="E172" s="113">
        <v>2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2</v>
      </c>
      <c r="D173" s="65"/>
      <c r="E173" s="114">
        <v>2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1</v>
      </c>
      <c r="D174" s="65"/>
      <c r="E174" s="114">
        <v>1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27</v>
      </c>
      <c r="D175" s="65"/>
      <c r="E175" s="114">
        <v>27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62</v>
      </c>
      <c r="B177" s="336"/>
      <c r="C177" s="155">
        <f>SUM(C172:C176)</f>
        <v>32</v>
      </c>
      <c r="D177" s="155">
        <f t="shared" ref="D177:E177" si="20">SUM(D172:D176)</f>
        <v>0</v>
      </c>
      <c r="E177" s="271">
        <f t="shared" si="20"/>
        <v>32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319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62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104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43</v>
      </c>
      <c r="D191" s="210"/>
      <c r="E191" s="255">
        <v>43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34</v>
      </c>
      <c r="D192" s="210"/>
      <c r="E192" s="255">
        <v>34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6</v>
      </c>
      <c r="D193" s="210"/>
      <c r="E193" s="255">
        <v>6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74</v>
      </c>
      <c r="D195" s="210"/>
      <c r="E195" s="255">
        <v>74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45</v>
      </c>
      <c r="D202" s="210"/>
      <c r="E202" s="255">
        <v>45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134</v>
      </c>
      <c r="D204" s="210"/>
      <c r="E204" s="255">
        <v>134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2</v>
      </c>
      <c r="D205" s="211"/>
      <c r="E205" s="255">
        <v>2</v>
      </c>
      <c r="F205" s="258"/>
    </row>
    <row r="206" spans="1:6" ht="15" customHeight="1" x14ac:dyDescent="0.2">
      <c r="A206" s="334" t="s">
        <v>62</v>
      </c>
      <c r="B206" s="336"/>
      <c r="C206" s="72">
        <f>SUM(C189:C205)</f>
        <v>338</v>
      </c>
      <c r="D206" s="212">
        <f t="shared" ref="D206:F206" si="24">SUM(D189:D205)</f>
        <v>0</v>
      </c>
      <c r="E206" s="256">
        <f t="shared" si="24"/>
        <v>338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GDI PEDRO DE VALDIVIA</cp:lastModifiedBy>
  <cp:revision/>
  <dcterms:created xsi:type="dcterms:W3CDTF">2007-01-29T23:37:08Z</dcterms:created>
  <dcterms:modified xsi:type="dcterms:W3CDTF">2025-11-05T16:12:27Z</dcterms:modified>
  <cp:category/>
  <cp:contentStatus/>
</cp:coreProperties>
</file>