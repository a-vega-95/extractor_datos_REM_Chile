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5 VILLA ALEGRE\FEBRERO\"/>
    </mc:Choice>
  </mc:AlternateContent>
  <xr:revisionPtr revIDLastSave="0" documentId="13_ncr:1_{A5AD65F0-E95C-4A95-8ECC-AEB31013D38B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<sst xmlns="http://schemas.openxmlformats.org/spreadsheetml/2006/main" count="452" uniqueCount="397">
  <si>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</si>
  <si>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</si>
  <si>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</si>
  <si>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</si>
  <si>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</si>
  <si>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</si>
  <si>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</si>
  <si>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FEBRERO</t>
  </si>
  <si>
    <t>AÑO:</t>
  </si>
  <si>
    <t xml:space="preserve"> </t>
  </si>
  <si>
    <t>Versión 1.2 Marzo 2025</t>
  </si>
  <si>
    <t>Director/a Servicio de Salud o Director/a Establecimiento</t>
  </si>
  <si>
    <t>SR. RAÚL GARCÉS ZÚÑIGA</t>
  </si>
  <si>
    <t>ENERO</t>
  </si>
  <si>
    <t>Establecimiento de Mayor Complejidad (EMAYC)</t>
  </si>
  <si>
    <t>SERVICIO DE SALUD</t>
  </si>
  <si>
    <t>Jefe/a de Estadísticas</t>
  </si>
  <si>
    <t>SRA. EVELYN SOTO SAAVEDRA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</si>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</sst>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H14" sqref="H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5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3" zoomScaleNormal="100" workbookViewId="0">
      <selection activeCell="E59" sqref="E59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</row>
    <row r="4" spans="1:6" x14ac:dyDescent="0.2">
      <c r="A4" s="50" t="str">
        <f>CONCATENATE("MES: ",NOMBRE!B6,"  ","( ",NOMBRE!C6,NOMBRE!D6," )")</f>
        <v>MES: FEBRERO  ( 02 )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33</v>
      </c>
      <c r="E21" s="77">
        <f>SUM(E22+E23)</f>
        <v>0</v>
      </c>
      <c r="F21" s="77">
        <f>SUM(F22+F23)</f>
        <v>33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33</v>
      </c>
      <c r="E23" s="78">
        <f>SUM(BM18A!D114:D118)</f>
        <v>0</v>
      </c>
      <c r="F23" s="80">
        <f>SUM(BM18A!E114:E118)</f>
        <v>33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6</v>
      </c>
      <c r="E25" s="100"/>
      <c r="F25" s="93">
        <v>6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14</v>
      </c>
      <c r="E27" s="92"/>
      <c r="F27" s="93">
        <v>14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7</v>
      </c>
      <c r="E31" s="92"/>
      <c r="F31" s="93">
        <v>7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28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5</v>
      </c>
      <c r="E35" s="92"/>
      <c r="F35" s="93">
        <v>5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5</v>
      </c>
      <c r="E37" s="96"/>
      <c r="F37" s="97">
        <v>5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94</v>
      </c>
      <c r="C43" s="83">
        <f>BM18A!D158</f>
        <v>0</v>
      </c>
      <c r="D43" s="83">
        <f>BM18A!E158</f>
        <v>94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140</v>
      </c>
      <c r="C46" s="83">
        <f>BM18A!D148</f>
        <v>0</v>
      </c>
      <c r="D46" s="83">
        <f>BM18A!E148</f>
        <v>140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4</v>
      </c>
      <c r="C48" s="83">
        <f>BM18A!D169</f>
        <v>0</v>
      </c>
      <c r="D48" s="83">
        <f>BM18A!E169</f>
        <v>4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142</v>
      </c>
      <c r="C50" s="79">
        <f>BM18A!D177</f>
        <v>0</v>
      </c>
      <c r="D50" s="79">
        <f>BM18A!E177</f>
        <v>142</v>
      </c>
    </row>
    <row r="51" spans="1:4" ht="16.5" customHeight="1" x14ac:dyDescent="0.2">
      <c r="A51" s="223" t="s">
        <v>110</v>
      </c>
      <c r="B51" s="90">
        <f t="shared" si="4"/>
        <v>3591</v>
      </c>
      <c r="C51" s="81">
        <f>BM18A!D206</f>
        <v>0</v>
      </c>
      <c r="D51" s="81">
        <f>BM18A!E206</f>
        <v>3591</v>
      </c>
    </row>
    <row r="52" spans="1:4" ht="17.25" customHeight="1" x14ac:dyDescent="0.2">
      <c r="A52" s="91" t="s">
        <v>67</v>
      </c>
      <c r="B52" s="77">
        <f>SUM(B42:B51)</f>
        <v>3971</v>
      </c>
      <c r="C52" s="77">
        <f>SUM(C42:C51)</f>
        <v>0</v>
      </c>
      <c r="D52" s="77">
        <f>SUM(D42:D51)</f>
        <v>3971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13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32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8087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35" zoomScaleNormal="100" workbookViewId="0">
      <selection activeCell="G145" sqref="G14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VILLA ALEGRE  ( 121305 )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FEBRERO  ( 02 )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28</v>
      </c>
      <c r="D114" s="65">
        <v>0</v>
      </c>
      <c r="E114" s="114">
        <v>28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5</v>
      </c>
      <c r="D115" s="65">
        <v>0</v>
      </c>
      <c r="E115" s="114">
        <v>5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109</v>
      </c>
      <c r="D143" s="194">
        <v>0</v>
      </c>
      <c r="E143" s="247">
        <v>109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31</v>
      </c>
      <c r="D145" s="196">
        <v>0</v>
      </c>
      <c r="E145" s="261">
        <v>31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45" t="s">
        <v>67</v>
      </c>
      <c r="B148" s="346"/>
      <c r="C148" s="159">
        <f>SUM(C143:C147)</f>
        <v>140</v>
      </c>
      <c r="D148" s="159">
        <f t="shared" ref="D148" si="16">SUM(D143:D147)</f>
        <v>0</v>
      </c>
      <c r="E148" s="263">
        <f>SUM(E143:E147)</f>
        <v>140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50</v>
      </c>
      <c r="D151" s="237">
        <v>0</v>
      </c>
      <c r="E151" s="113">
        <v>50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42</v>
      </c>
      <c r="D152" s="213">
        <v>0</v>
      </c>
      <c r="E152" s="114">
        <v>42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</v>
      </c>
      <c r="D154" s="214">
        <v>0</v>
      </c>
      <c r="E154" s="115">
        <v>2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45" t="s">
        <v>67</v>
      </c>
      <c r="B158" s="346"/>
      <c r="C158" s="72">
        <f>SUM(C151:C157)</f>
        <v>94</v>
      </c>
      <c r="D158" s="212">
        <f t="shared" ref="D158:F158" si="18">SUM(D151:D157)</f>
        <v>0</v>
      </c>
      <c r="E158" s="256">
        <f t="shared" si="18"/>
        <v>94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>
        <v>0</v>
      </c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3</v>
      </c>
      <c r="D168" s="227">
        <v>0</v>
      </c>
      <c r="E168" s="267">
        <v>3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4</v>
      </c>
      <c r="D169" s="228">
        <f>SUM(D167:D168)</f>
        <v>0</v>
      </c>
      <c r="E169" s="268">
        <f>SUM(E167:E168)</f>
        <v>4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12</v>
      </c>
      <c r="D172" s="242">
        <v>0</v>
      </c>
      <c r="E172" s="113">
        <v>12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7</v>
      </c>
      <c r="D173" s="65">
        <v>0</v>
      </c>
      <c r="E173" s="114">
        <v>7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7</v>
      </c>
      <c r="D174" s="65">
        <v>0</v>
      </c>
      <c r="E174" s="114">
        <v>7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116</v>
      </c>
      <c r="D175" s="65">
        <v>0</v>
      </c>
      <c r="E175" s="114">
        <v>116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142</v>
      </c>
      <c r="D177" s="155">
        <f t="shared" ref="D177:E177" si="20">SUM(D172:D176)</f>
        <v>0</v>
      </c>
      <c r="E177" s="271">
        <f t="shared" si="20"/>
        <v>142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718</v>
      </c>
      <c r="D189" s="225">
        <v>0</v>
      </c>
      <c r="E189" s="266">
        <v>718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16</v>
      </c>
      <c r="D190" s="226">
        <v>0</v>
      </c>
      <c r="E190" s="255">
        <v>16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295</v>
      </c>
      <c r="D191" s="210">
        <v>0</v>
      </c>
      <c r="E191" s="255">
        <v>295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216</v>
      </c>
      <c r="D192" s="210">
        <v>0</v>
      </c>
      <c r="E192" s="255">
        <v>216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83</v>
      </c>
      <c r="D193" s="210">
        <v>0</v>
      </c>
      <c r="E193" s="255">
        <v>83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92</v>
      </c>
      <c r="D194" s="226">
        <v>0</v>
      </c>
      <c r="E194" s="277">
        <v>92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988</v>
      </c>
      <c r="D195" s="210">
        <v>0</v>
      </c>
      <c r="E195" s="255">
        <v>988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49</v>
      </c>
      <c r="D198" s="210">
        <v>0</v>
      </c>
      <c r="E198" s="255">
        <v>49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204</v>
      </c>
      <c r="D202" s="210">
        <v>0</v>
      </c>
      <c r="E202" s="255">
        <v>204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3</v>
      </c>
      <c r="D203" s="210">
        <v>0</v>
      </c>
      <c r="E203" s="255">
        <v>3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878</v>
      </c>
      <c r="D204" s="210">
        <v>0</v>
      </c>
      <c r="E204" s="255">
        <v>878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49</v>
      </c>
      <c r="D205" s="211">
        <v>0</v>
      </c>
      <c r="E205" s="255">
        <v>49</v>
      </c>
      <c r="F205" s="258">
        <v>0</v>
      </c>
    </row>
    <row r="206" spans="1:6" ht="15" customHeight="1" x14ac:dyDescent="0.2">
      <c r="A206" s="345" t="s">
        <v>67</v>
      </c>
      <c r="B206" s="346"/>
      <c r="C206" s="72">
        <f>SUM(C189:C205)</f>
        <v>3591</v>
      </c>
      <c r="D206" s="212">
        <f t="shared" ref="D206:F206" si="24">SUM(D189:D205)</f>
        <v>0</v>
      </c>
      <c r="E206" s="256">
        <f t="shared" si="24"/>
        <v>3591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FEBRERO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2025-08-27T21:17:25Z</dcterms:modified>
  <cp:category/>
  <cp:contentStatus/>
</cp:coreProperties>
</file>