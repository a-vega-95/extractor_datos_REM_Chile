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FEBRERO\"/>
    </mc:Choice>
  </mc:AlternateContent>
  <xr:revisionPtr revIDLastSave="0" documentId="13_ncr:1_{6B670D6B-4B2B-4A14-97ED-A4568287AC44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<sst xmlns="http://schemas.openxmlformats.org/spreadsheetml/2006/main" count="452" uniqueCount="397">
  <si>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</si>
  <si>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</si>
  <si>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</si>
  <si>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</si>
  <si>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</si>
  <si>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</si>
  <si>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</si>
  <si>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FEBRERO</t>
  </si>
  <si>
    <t>AÑO:</t>
  </si>
  <si>
    <t xml:space="preserve"> </t>
  </si>
  <si>
    <t>Versión 1.2 Marzo 2025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</si>
  <si>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</si>
  <si>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</si>
  <si>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</si>
  <si>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</si>
  <si>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</si>
  <si>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SRA. ELVELYN SOTO SAAVEDRA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</si>
  <si>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</si>
  <si>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</si>
  <si>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</si>
  <si>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</si>
  <si>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</si>
  <si>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</si>
  <si>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</si>
  <si>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</si>
  <si>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</si>
  <si>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</si>
  <si>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</si>
  <si>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</si>
  <si>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</si>
  <si>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</si>
  <si>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</si>
  <si>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</si>
  <si>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</si>
  <si>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</si>
  <si>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</si>
  <si>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</si>
  <si>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</si>
  <si>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</si>
  <si>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</si>
  <si>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</si>
  <si>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</si>
  <si>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</si>
  <si>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</si>
  <si>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</si>
  <si>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</si>
  <si>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</si>
  <si>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</si>
  <si>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</si>
  <si>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</si>
  <si>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</si>
  <si>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</si>
  <si>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</si>
  <si>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</si>
  <si>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</si>
  <si>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</si>
  <si>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</si>
  <si>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</si>
  <si>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</si>
  <si>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</si>
  <si>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</si>
  <si>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</si>
  <si>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</si>
  <si>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</si>
  <si>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</si>
  <si>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</si>
  <si>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</si>
  <si>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</si>
  <si>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</si>
  <si>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</si>
  <si>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</si>
  <si>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</si>
  <si>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</si>
  <si>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</si>
  <si>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</si>
  <si>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</si>
  <si>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</si>
  <si>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</si>
  <si>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</si>
  <si>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</si>
  <si>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</si>
  <si>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</si>
  <si>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</si>
  <si>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</si>
  <si>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</si>
  <si>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</si>
  <si>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</si>
  <si>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</si>
  <si>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</si>
  <si>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</si>
  <si>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</si>
  <si>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</si>
  <si>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</si>
  <si>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</si>
  <si>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</si>
  <si>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</si>
  <si>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</si>
  <si>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</si>
  <si>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</si>
  <si>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</si>
  <si>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</si>
  <si>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</si>
  <si>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</si>
  <si>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</si>
  <si>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</si>
  <si>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</si>
  <si>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</si>
  <si>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</si>
  <si>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</si>
  <si>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</si>
  <si>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</si>
  <si>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</si>
  <si>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</si>
  <si>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</si>
  <si>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</si>
  <si>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</si>
  <si>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</si>
  <si>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</si>
  <si>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</si>
  <si>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</si>
  <si>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</si>
  <si>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</si>
  <si>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</si>
  <si>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</si>
  <si>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</si>
  <si>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</si>
  <si>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</si>
  <si>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</si>
  <si>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</si>
  <si>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</si>
  <si>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</si>
  <si>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</si>
  <si>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</si>
  <si>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</si>
  <si>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</si>
  <si>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</si>
  <si>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</si>
  <si>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</si>
  <si>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</si>
  <si>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</si>
  <si>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</si>
  <si>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</si>
  <si>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</si>
  <si>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</si>
  <si>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</si>
  <si>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</si>
  <si>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</si>
  <si>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</si>
  <si>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</si>
  <si>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</si>
  <si>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</si>
  <si>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</si>
  <si>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</si>
  <si>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</si>
  <si>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</si>
  <si>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</si>
  <si>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</si>
  <si>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</si>
  <si>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</si>
  <si>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</si>
  <si>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</si>
  <si>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</si>
  <si>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</si>
  <si>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</si>
  <si>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</si>
  <si>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</si>
  <si>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</si>
  <si>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</si>
  <si>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</si>
  <si>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</si>
  <si>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</si>
  <si>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</si>
  <si>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</si>
  <si>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</si>
  <si>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</si>
  <si>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</si>
  <si>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</si>
  <si>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</si>
  <si>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</si>
  <si>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</si>
  <si>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</si>
  <si>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</si>
  <si>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</si>
  <si>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</si>
  <si>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</si>
  <si>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</si>
  <si>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</si>
  <si>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</si>
  <si>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</si>
  <si>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</si>
  <si>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</si>
  <si>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</si>
  <si>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</si>
  <si>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</si>
  <si>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</si>
  <si>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</si>
  <si>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</si>
  <si>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</si>
  <si>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</si>
  <si>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</si>
  <si>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</si>
  <si>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</si>
  <si>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</si>
  <si>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</si>
  <si>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</si>
  <si>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</si>
  <si>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</si>
  <si>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</si>
  <si>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</si>
  <si>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</si>
  <si>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</si>
  <si>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</si>
  <si>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</si>
  <si>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</si>
  <si>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</si>
  <si>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</si>
  <si>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</si>
  <si>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</si>
  <si>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</si>
  <si>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</si>
  <si>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</si>
  <si>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</si>
  <si>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</si>
  <si>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</si>
  <si>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</si>
  <si>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</si>
  <si>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</si>
  <si>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</si>
  <si>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</si>
  <si>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</si>
  <si>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</si>
  <si>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</si>
  <si>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</si>
  <si>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</si>
  <si>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</si>
  <si>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</si>
  <si>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</si>
  <si>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</si>
  <si>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</si>
  <si>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</si>
  <si>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</si>
  <si>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</si>
  <si>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</si>
  <si>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</si>
  <si>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</si>
  <si>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</si>
  <si>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</si>
  <si>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</si>
  <si>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</si>
  <si>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</si>
  <si>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</si>
  <si>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</si>
  <si>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</si>
  <si>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</si>
  <si>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</si>
  <si>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</si>
  <si>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</si>
  <si>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</si>
  <si>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</si>
  <si>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</si>
  <si>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</si>
  <si>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</si>
  <si>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</si>
  <si>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</si>
  <si>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</si>
  <si>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</si>
  <si>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</si>
  <si>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</si>
  <si>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</si>
  <si>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</si>
  <si>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</si>
  <si>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</si>
  <si>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</si>
  <si>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</si>
  <si>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</si>
  <si>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</si>
  <si>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</si>
  <si>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</si>
  <si>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</si>
  <si>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</si>
  <si>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</si>
  <si>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</si>
  <si>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</si>
  <si>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</si>
  <si>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</si>
  <si>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</si>
  <si>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</si>
  <si>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</si>
  <si>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</si>
  <si>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</si>
  <si>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</si>
  <si>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</si>
  <si>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</si>
  <si>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</si>
  <si>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</si>
  <si>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</si>
  <si>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</si>
  <si>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</si>
  <si>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</si>
  <si>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</si>
  <si>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</si>
  <si>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</si>
  <si>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</si>
  <si>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</si>
  <si>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</si>
  <si>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</si>
  <si>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</si>
  <si>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</si>
  <si>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</si>
  <si>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</si>
  <si>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</si>
  <si>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</si>
  <si>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</si>
  <si>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</si>
  <si>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</si>
  <si>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</si>
  <si>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</si>
  <si>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</si>
  <si>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</si>
  <si>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</si>
  <si>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</si>
  <si>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</si>
  <si>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</si>
  <si>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</si>
  <si>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</si>
  <si>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</si>
  <si>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</si>
  <si>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</si>
  <si>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</si>
  <si>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</si>
  <si>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</si>
  <si>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</si>
  <si>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</si>
  <si>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</si>
  <si>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</si>
  <si>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</si>
  <si>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</si>
  <si>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</si>
  <si>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</si>
  <si>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</si>
  <si>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</si>
  <si>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</si>
  <si>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</si>
  <si>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</si>
  <si>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</si>
  <si>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</si>
  <si>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</si>
  <si>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</si>
  <si>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</si>
  <si>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</si>
  <si>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</si>
  <si>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</si>
  <si>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</si>
  <si>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</si>
  <si>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</si>
  <si>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</si>
  <si>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</si>
  <si>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</si>
  <si>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</si>
  <si>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</si>
  <si>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</si>
  <si>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</si>
  <si>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</si>
  <si>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</si>
  <si>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</si>
  <si>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</si>
  <si>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</si>
  <si>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</si>
  <si>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</si>
  <si>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</si>
  <si>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</si>
  <si>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</si>
  <si>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</si>
  <si>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</si>
  <si>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</si>
  <si>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</si>
  <si>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</si>
  <si>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</si>
  <si>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</si>
  <si>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</si>
  <si>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</si>
  <si>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</si>
  <si>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</si>
  <si>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</si>
  <si>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</si>
  <si>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</si>
  <si>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</si>
  <si>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</si>
  <si>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</si>
  <si>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</si>
  <si>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</si>
  <si>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</si>
  <si>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</si>
  <si>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</si>
  <si>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</si>
  <si>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</si>
  <si>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SR. JORGE VAENZUELA VASQUEZ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</si>
</sst>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390525</xdr:colOff>
      <xdr:row>4</xdr:row>
      <xdr:rowOff>95250</xdr:rowOff>
    </xdr:from>
    <xdr:to>
      <xdr:col>7</xdr:col>
      <xdr:colOff>409575</xdr:colOff>
      <xdr:row>4</xdr:row>
      <xdr:rowOff>523875</xdr:rowOff>
    </xdr:to>
    <xdr:pic>
      <xdr:nvPicPr>
        <xdr:cNvPr id="4097" name="CommandButton3">
          <a:extLst>
            <a:ext uri="{FF2B5EF4-FFF2-40B4-BE49-F238E27FC236}">
              <a16:creationId xmlns:a16="http://schemas.microsoft.com/office/drawing/2014/main" id="{176D87AC-8645-33D6-A9CD-5A2712E51D0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362075"/>
          <a:ext cx="2305050" cy="428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K14" sqref="K14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396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7</v>
      </c>
      <c r="AB12" s="35" t="s">
        <v>17</v>
      </c>
      <c r="AC12" s="108" t="s">
        <v>18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19</v>
      </c>
      <c r="AB13" s="35" t="s">
        <v>20</v>
      </c>
      <c r="AC13" s="108" t="s">
        <v>21</v>
      </c>
    </row>
    <row r="14" spans="1:33" ht="21" customHeight="1" x14ac:dyDescent="0.15">
      <c r="A14" s="280" t="s">
        <v>22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23</v>
      </c>
      <c r="AB14" s="35" t="s">
        <v>24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25</v>
      </c>
      <c r="AB15" s="35" t="s">
        <v>26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27</v>
      </c>
      <c r="AB16" s="35" t="s">
        <v>28</v>
      </c>
      <c r="AC16" s="109"/>
    </row>
    <row r="17" spans="2:29" ht="21" customHeight="1" x14ac:dyDescent="0.15">
      <c r="B17" s="282" t="s">
        <v>29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30</v>
      </c>
      <c r="AB17" s="35" t="s">
        <v>31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>
      <selection activeCell="J36" sqref="J36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</row>
    <row r="4" spans="1:6" x14ac:dyDescent="0.2">
      <c r="A4" s="50" t="str">
        <f>CONCATENATE("MES: ",NOMBRE!B6,"  ","( ",NOMBRE!C6,NOMBRE!D6," )")</f>
        <v>MES: FEBRERO  ( 02 )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63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64</v>
      </c>
      <c r="B10" s="325"/>
      <c r="C10" s="325"/>
    </row>
    <row r="11" spans="1:6" ht="12.75" customHeight="1" x14ac:dyDescent="0.2">
      <c r="A11" s="326" t="s">
        <v>65</v>
      </c>
      <c r="B11" s="327"/>
      <c r="C11" s="328"/>
      <c r="D11" s="320" t="s">
        <v>66</v>
      </c>
      <c r="E11" s="320" t="s">
        <v>67</v>
      </c>
      <c r="F11" s="292" t="s">
        <v>68</v>
      </c>
    </row>
    <row r="12" spans="1:6" ht="21.75" customHeight="1" x14ac:dyDescent="0.2">
      <c r="A12" s="329"/>
      <c r="B12" s="330"/>
      <c r="C12" s="331"/>
      <c r="D12" s="322"/>
      <c r="E12" s="322" t="s">
        <v>69</v>
      </c>
      <c r="F12" s="293" t="s">
        <v>69</v>
      </c>
    </row>
    <row r="13" spans="1:6" ht="20.25" customHeight="1" x14ac:dyDescent="0.2">
      <c r="A13" s="43" t="s">
        <v>70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71</v>
      </c>
      <c r="B14" s="332" t="s">
        <v>72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6" t="s">
        <v>74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6" t="s">
        <v>76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6" t="s">
        <v>78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6" t="s">
        <v>80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04" t="s">
        <v>82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0" t="s">
        <v>84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85</v>
      </c>
      <c r="B21" s="323"/>
      <c r="C21" s="324"/>
      <c r="D21" s="77">
        <f>SUM(E21:F21)</f>
        <v>31</v>
      </c>
      <c r="E21" s="77">
        <f>SUM(E22+E23)</f>
        <v>0</v>
      </c>
      <c r="F21" s="77">
        <f>SUM(F22+F23)</f>
        <v>31</v>
      </c>
    </row>
    <row r="22" spans="1:6" ht="17.25" customHeight="1" x14ac:dyDescent="0.2">
      <c r="A22" s="98" t="s">
        <v>86</v>
      </c>
      <c r="B22" s="312" t="s">
        <v>87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88</v>
      </c>
      <c r="C23" s="315"/>
      <c r="D23" s="80">
        <f t="shared" ref="D23" si="2">SUM(E23:F23)</f>
        <v>31</v>
      </c>
      <c r="E23" s="78">
        <f>SUM(BM18A!D114:D118)</f>
        <v>0</v>
      </c>
      <c r="F23" s="80">
        <f>SUM(BM18A!E114:E118)</f>
        <v>31</v>
      </c>
    </row>
    <row r="24" spans="1:6" ht="17.25" customHeight="1" x14ac:dyDescent="0.2">
      <c r="A24" s="320"/>
      <c r="B24" s="316" t="s">
        <v>89</v>
      </c>
      <c r="C24" s="180" t="s">
        <v>90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91</v>
      </c>
      <c r="D25" s="80">
        <f>SUM(F25)</f>
        <v>15</v>
      </c>
      <c r="E25" s="100"/>
      <c r="F25" s="93">
        <v>15</v>
      </c>
    </row>
    <row r="26" spans="1:6" ht="17.25" customHeight="1" x14ac:dyDescent="0.2">
      <c r="A26" s="321"/>
      <c r="B26" s="318" t="s">
        <v>92</v>
      </c>
      <c r="C26" s="133" t="s">
        <v>90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91</v>
      </c>
      <c r="D27" s="80">
        <f t="shared" si="3"/>
        <v>7</v>
      </c>
      <c r="E27" s="92"/>
      <c r="F27" s="93">
        <v>7</v>
      </c>
    </row>
    <row r="28" spans="1:6" ht="17.25" customHeight="1" x14ac:dyDescent="0.2">
      <c r="A28" s="321"/>
      <c r="B28" s="318" t="s">
        <v>93</v>
      </c>
      <c r="C28" s="133" t="s">
        <v>90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91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94</v>
      </c>
      <c r="C30" s="133" t="s">
        <v>90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91</v>
      </c>
      <c r="D31" s="80">
        <f t="shared" si="3"/>
        <v>9</v>
      </c>
      <c r="E31" s="92"/>
      <c r="F31" s="93">
        <v>9</v>
      </c>
    </row>
    <row r="32" spans="1:6" ht="17.25" customHeight="1" x14ac:dyDescent="0.2">
      <c r="A32" s="321"/>
      <c r="B32" s="308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91</v>
      </c>
      <c r="D33" s="80">
        <f>SUM(D25+D27+D29+D31)</f>
        <v>31</v>
      </c>
      <c r="E33" s="92"/>
      <c r="F33" s="92"/>
    </row>
    <row r="34" spans="1:6" ht="17.25" customHeight="1" x14ac:dyDescent="0.2">
      <c r="A34" s="321"/>
      <c r="B34" s="318" t="s">
        <v>96</v>
      </c>
      <c r="C34" s="133" t="s">
        <v>90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91</v>
      </c>
      <c r="D35" s="81">
        <f>SUM(F35)</f>
        <v>7</v>
      </c>
      <c r="E35" s="92"/>
      <c r="F35" s="93">
        <v>7</v>
      </c>
    </row>
    <row r="36" spans="1:6" ht="17.25" customHeight="1" x14ac:dyDescent="0.2">
      <c r="A36" s="321"/>
      <c r="B36" s="318" t="s">
        <v>97</v>
      </c>
      <c r="C36" s="133" t="s">
        <v>90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91</v>
      </c>
      <c r="D37" s="81">
        <f>SUM(F37)</f>
        <v>13</v>
      </c>
      <c r="E37" s="96"/>
      <c r="F37" s="97">
        <v>13</v>
      </c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2" t="s">
        <v>99</v>
      </c>
      <c r="B40" s="292" t="s">
        <v>66</v>
      </c>
      <c r="C40" s="320" t="s">
        <v>67</v>
      </c>
      <c r="D40" s="292" t="s">
        <v>68</v>
      </c>
    </row>
    <row r="41" spans="1:6" ht="25.5" customHeight="1" x14ac:dyDescent="0.2">
      <c r="A41" s="293"/>
      <c r="B41" s="294"/>
      <c r="C41" s="322" t="s">
        <v>69</v>
      </c>
      <c r="D41" s="293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33</v>
      </c>
      <c r="C43" s="83">
        <f>BM18A!D158</f>
        <v>0</v>
      </c>
      <c r="D43" s="83">
        <f>BM18A!E158</f>
        <v>33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57</v>
      </c>
      <c r="C45" s="79">
        <f>SUM(BM18A!D132:D139)</f>
        <v>0</v>
      </c>
      <c r="D45" s="79">
        <f>SUM(BM18A!E132:E139)</f>
        <v>57</v>
      </c>
    </row>
    <row r="46" spans="1:6" ht="16.5" customHeight="1" x14ac:dyDescent="0.2">
      <c r="A46" s="90" t="s">
        <v>104</v>
      </c>
      <c r="B46" s="79">
        <f t="shared" si="4"/>
        <v>431</v>
      </c>
      <c r="C46" s="83">
        <f>BM18A!D148</f>
        <v>0</v>
      </c>
      <c r="D46" s="83">
        <f>BM18A!E148</f>
        <v>431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10</v>
      </c>
      <c r="C48" s="83">
        <f>BM18A!D169</f>
        <v>0</v>
      </c>
      <c r="D48" s="83">
        <f>BM18A!E169</f>
        <v>10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162</v>
      </c>
      <c r="C50" s="79">
        <f>BM18A!D177</f>
        <v>0</v>
      </c>
      <c r="D50" s="79">
        <f>BM18A!E177</f>
        <v>162</v>
      </c>
    </row>
    <row r="51" spans="1:4" ht="16.5" customHeight="1" x14ac:dyDescent="0.2">
      <c r="A51" s="223" t="s">
        <v>109</v>
      </c>
      <c r="B51" s="90">
        <f t="shared" si="4"/>
        <v>4848</v>
      </c>
      <c r="C51" s="81">
        <f>BM18A!D206</f>
        <v>0</v>
      </c>
      <c r="D51" s="81">
        <f>BM18A!E206</f>
        <v>4848</v>
      </c>
    </row>
    <row r="52" spans="1:4" ht="17.25" customHeight="1" x14ac:dyDescent="0.2">
      <c r="A52" s="91" t="s">
        <v>66</v>
      </c>
      <c r="B52" s="77">
        <f>SUM(B42:B51)</f>
        <v>5541</v>
      </c>
      <c r="C52" s="77">
        <f>SUM(C42:C51)</f>
        <v>0</v>
      </c>
      <c r="D52" s="77">
        <f>SUM(D42:D51)</f>
        <v>5541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02" t="s">
        <v>111</v>
      </c>
      <c r="B55" s="300" t="s">
        <v>66</v>
      </c>
    </row>
    <row r="56" spans="1:4" x14ac:dyDescent="0.2">
      <c r="A56" s="303"/>
      <c r="B56" s="301"/>
    </row>
    <row r="57" spans="1:4" ht="17.25" customHeight="1" x14ac:dyDescent="0.2">
      <c r="A57" s="116" t="s">
        <v>112</v>
      </c>
      <c r="B57" s="207"/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298" t="s">
        <v>114</v>
      </c>
      <c r="B59" s="299"/>
      <c r="C59" s="103" t="s">
        <v>115</v>
      </c>
      <c r="D59" s="104" t="s">
        <v>116</v>
      </c>
    </row>
    <row r="60" spans="1:4" ht="16.5" customHeight="1" x14ac:dyDescent="0.2">
      <c r="A60" s="295" t="s">
        <v>117</v>
      </c>
      <c r="B60" s="208" t="s">
        <v>118</v>
      </c>
      <c r="C60" s="87">
        <v>22</v>
      </c>
      <c r="D60" s="84"/>
    </row>
    <row r="61" spans="1:4" ht="16.5" customHeight="1" x14ac:dyDescent="0.2">
      <c r="A61" s="296"/>
      <c r="B61" s="12" t="s">
        <v>119</v>
      </c>
      <c r="C61" s="88"/>
      <c r="D61" s="85"/>
    </row>
    <row r="62" spans="1:4" ht="16.5" customHeight="1" x14ac:dyDescent="0.2">
      <c r="A62" s="297"/>
      <c r="B62" s="13" t="s">
        <v>120</v>
      </c>
      <c r="C62" s="89"/>
      <c r="D62" s="86"/>
    </row>
    <row r="96" spans="1:1" hidden="1" x14ac:dyDescent="0.2">
      <c r="A96" s="215">
        <f>SUM(D13:D37,B42:B52,B57,C60:C62)</f>
        <v>11248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68" zoomScaleNormal="100" workbookViewId="0">
      <selection activeCell="I196" sqref="I19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FEBRERO  ( 02 )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121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56" t="s">
        <v>1</v>
      </c>
      <c r="B10" s="352" t="s">
        <v>65</v>
      </c>
      <c r="C10" s="354" t="s">
        <v>66</v>
      </c>
      <c r="D10" s="352" t="s">
        <v>67</v>
      </c>
      <c r="E10" s="357" t="s">
        <v>68</v>
      </c>
      <c r="F10" s="352" t="s">
        <v>122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123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66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138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66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179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66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78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66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80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66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222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66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66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242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243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31</v>
      </c>
      <c r="D114" s="65"/>
      <c r="E114" s="114">
        <v>31</v>
      </c>
      <c r="F114" s="65"/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298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99</v>
      </c>
      <c r="C121" s="352" t="s">
        <v>69</v>
      </c>
      <c r="D121" s="352" t="s">
        <v>67</v>
      </c>
      <c r="E121" s="357" t="s">
        <v>68</v>
      </c>
      <c r="F121" s="354" t="s">
        <v>122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299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66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304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6</v>
      </c>
      <c r="D132" s="205"/>
      <c r="E132" s="254">
        <v>6</v>
      </c>
      <c r="F132" s="250"/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19</v>
      </c>
      <c r="D133" s="189"/>
      <c r="E133" s="255">
        <v>19</v>
      </c>
      <c r="F133" s="250"/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15</v>
      </c>
      <c r="D136" s="189"/>
      <c r="E136" s="255">
        <v>15</v>
      </c>
      <c r="F136" s="250"/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14</v>
      </c>
      <c r="D137" s="189"/>
      <c r="E137" s="255">
        <v>14</v>
      </c>
      <c r="F137" s="250"/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2</v>
      </c>
      <c r="D138" s="189"/>
      <c r="E138" s="255">
        <v>2</v>
      </c>
      <c r="F138" s="250"/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1</v>
      </c>
      <c r="D139" s="189"/>
      <c r="E139" s="255">
        <v>1</v>
      </c>
      <c r="F139" s="251"/>
    </row>
    <row r="140" spans="1:6" ht="15" customHeight="1" x14ac:dyDescent="0.2">
      <c r="A140" s="334" t="s">
        <v>66</v>
      </c>
      <c r="B140" s="336"/>
      <c r="C140" s="72">
        <f>SUM(C131:C139)</f>
        <v>57</v>
      </c>
      <c r="D140" s="72">
        <f t="shared" ref="D140:F140" si="15">SUM(D131:D139)</f>
        <v>0</v>
      </c>
      <c r="E140" s="256">
        <f t="shared" si="15"/>
        <v>57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314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426</v>
      </c>
      <c r="D143" s="194"/>
      <c r="E143" s="247">
        <v>426</v>
      </c>
      <c r="F143" s="257"/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5</v>
      </c>
      <c r="D144" s="195"/>
      <c r="E144" s="260">
        <v>5</v>
      </c>
      <c r="F144" s="250"/>
    </row>
    <row r="145" spans="1:6" ht="15" customHeight="1" x14ac:dyDescent="0.2">
      <c r="A145" s="60"/>
      <c r="B145" s="129" t="s">
        <v>319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66</v>
      </c>
      <c r="B148" s="336"/>
      <c r="C148" s="159">
        <f>SUM(C143:C147)</f>
        <v>431</v>
      </c>
      <c r="D148" s="159">
        <f t="shared" ref="D148" si="16">SUM(D143:D147)</f>
        <v>0</v>
      </c>
      <c r="E148" s="263">
        <f>SUM(E143:E147)</f>
        <v>431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322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0</v>
      </c>
      <c r="D151" s="237"/>
      <c r="E151" s="113"/>
      <c r="F151" s="257"/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24</v>
      </c>
      <c r="D152" s="213"/>
      <c r="E152" s="114">
        <v>24</v>
      </c>
      <c r="F152" s="250"/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9</v>
      </c>
      <c r="D154" s="214"/>
      <c r="E154" s="115">
        <v>9</v>
      </c>
      <c r="F154" s="250"/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34" t="s">
        <v>66</v>
      </c>
      <c r="B158" s="336"/>
      <c r="C158" s="72">
        <f>SUM(C151:C157)</f>
        <v>33</v>
      </c>
      <c r="D158" s="212">
        <f t="shared" ref="D158:F158" si="18">SUM(D151:D157)</f>
        <v>0</v>
      </c>
      <c r="E158" s="256">
        <f t="shared" si="18"/>
        <v>33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333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66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338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339</v>
      </c>
      <c r="C167" s="241">
        <f>SUM(D167:E167)</f>
        <v>4</v>
      </c>
      <c r="D167" s="240"/>
      <c r="E167" s="266">
        <v>4</v>
      </c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6</v>
      </c>
      <c r="D168" s="227"/>
      <c r="E168" s="267">
        <v>6</v>
      </c>
      <c r="F168" s="265"/>
    </row>
    <row r="169" spans="1:6" ht="15" customHeight="1" x14ac:dyDescent="0.2">
      <c r="A169" s="334" t="s">
        <v>66</v>
      </c>
      <c r="B169" s="336"/>
      <c r="C169" s="155">
        <f>SUM(C167:C168)</f>
        <v>10</v>
      </c>
      <c r="D169" s="228">
        <f>SUM(D167:D168)</f>
        <v>0</v>
      </c>
      <c r="E169" s="268">
        <f>SUM(E167:E168)</f>
        <v>10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341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4</v>
      </c>
      <c r="D172" s="242"/>
      <c r="E172" s="113">
        <v>4</v>
      </c>
      <c r="F172" s="264"/>
    </row>
    <row r="173" spans="1:6" ht="15" customHeight="1" x14ac:dyDescent="0.2">
      <c r="A173" s="60"/>
      <c r="B173" s="121" t="s">
        <v>343</v>
      </c>
      <c r="C173" s="188">
        <f>SUM(D173:E173)</f>
        <v>6</v>
      </c>
      <c r="D173" s="65"/>
      <c r="E173" s="114">
        <v>6</v>
      </c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6</v>
      </c>
      <c r="D174" s="65"/>
      <c r="E174" s="114">
        <v>6</v>
      </c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146</v>
      </c>
      <c r="D175" s="65"/>
      <c r="E175" s="114">
        <v>146</v>
      </c>
      <c r="F175" s="246"/>
    </row>
    <row r="176" spans="1:6" ht="15" customHeight="1" x14ac:dyDescent="0.2">
      <c r="A176" s="200"/>
      <c r="B176" s="198" t="s">
        <v>346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34" t="s">
        <v>66</v>
      </c>
      <c r="B177" s="336"/>
      <c r="C177" s="155">
        <f>SUM(C172:C176)</f>
        <v>162</v>
      </c>
      <c r="D177" s="155">
        <f t="shared" ref="D177:E177" si="20">SUM(D172:D176)</f>
        <v>0</v>
      </c>
      <c r="E177" s="271">
        <f t="shared" si="20"/>
        <v>162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347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66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109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516</v>
      </c>
      <c r="D189" s="225"/>
      <c r="E189" s="266">
        <v>516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45</v>
      </c>
      <c r="D190" s="226"/>
      <c r="E190" s="255">
        <v>45</v>
      </c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329</v>
      </c>
      <c r="D191" s="210"/>
      <c r="E191" s="255">
        <v>329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262</v>
      </c>
      <c r="D192" s="210"/>
      <c r="E192" s="255">
        <v>262</v>
      </c>
      <c r="F192" s="246"/>
    </row>
    <row r="193" spans="1:6" ht="15" customHeight="1" x14ac:dyDescent="0.2">
      <c r="A193" s="62"/>
      <c r="B193" s="129" t="s">
        <v>359</v>
      </c>
      <c r="C193" s="188">
        <f t="shared" si="22"/>
        <v>167</v>
      </c>
      <c r="D193" s="210"/>
      <c r="E193" s="255">
        <v>167</v>
      </c>
      <c r="F193" s="246"/>
    </row>
    <row r="194" spans="1:6" ht="15" customHeight="1" x14ac:dyDescent="0.2">
      <c r="A194" s="203"/>
      <c r="B194" s="129" t="s">
        <v>360</v>
      </c>
      <c r="C194" s="199">
        <f t="shared" si="22"/>
        <v>84</v>
      </c>
      <c r="D194" s="226"/>
      <c r="E194" s="277">
        <v>84</v>
      </c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506</v>
      </c>
      <c r="D195" s="210"/>
      <c r="E195" s="255">
        <v>506</v>
      </c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1092</v>
      </c>
      <c r="D202" s="210"/>
      <c r="E202" s="255">
        <v>1092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17</v>
      </c>
      <c r="D203" s="210"/>
      <c r="E203" s="255">
        <v>17</v>
      </c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1763</v>
      </c>
      <c r="D204" s="210"/>
      <c r="E204" s="255">
        <v>1763</v>
      </c>
      <c r="F204" s="250"/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67</v>
      </c>
      <c r="D205" s="211"/>
      <c r="E205" s="255">
        <v>67</v>
      </c>
      <c r="F205" s="258"/>
    </row>
    <row r="206" spans="1:6" ht="15" customHeight="1" x14ac:dyDescent="0.2">
      <c r="A206" s="334" t="s">
        <v>66</v>
      </c>
      <c r="B206" s="336"/>
      <c r="C206" s="72">
        <f>SUM(C189:C205)</f>
        <v>4848</v>
      </c>
      <c r="D206" s="212">
        <f t="shared" ref="D206:F206" si="24">SUM(D189:D205)</f>
        <v>0</v>
      </c>
      <c r="E206" s="256">
        <f t="shared" si="24"/>
        <v>4848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FEBRERO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4099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2025-03-06T18:34:25Z</dcterms:modified>
  <cp:category/>
  <cp:contentStatus/>
</cp:coreProperties>
</file>