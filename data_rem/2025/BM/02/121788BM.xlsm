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FEBRERO\"/>
    </mc:Choice>
  </mc:AlternateContent>
  <xr:revisionPtr revIDLastSave="0" documentId="13_ncr:1_{3220CCBE-2110-44F4-AC01-D79B2330E477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<sst xmlns="http://schemas.openxmlformats.org/spreadsheetml/2006/main" count="452" uniqueCount="397">
  <si>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</si>
  <si>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</si>
  <si>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</si>
  <si>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</si>
  <si>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</si>
  <si>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</si>
  <si>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FEBRERO</t>
  </si>
  <si>
    <t>AÑO:</t>
  </si>
  <si>
    <t xml:space="preserve"> </t>
  </si>
  <si>
    <t>Versión 1.2 Marzo 2025</t>
  </si>
  <si>
    <t>Director/a Servicio de Salud o Director/a Establecimiento</t>
  </si>
  <si>
    <t>SRA. MARCELA SOTO ARIAS</t>
  </si>
  <si>
    <t>ENERO</t>
  </si>
  <si>
    <t>Establecimiento de Mayor Complejidad (EMAYC)</t>
  </si>
  <si>
    <t>SERVICIO DE SALUD</t>
  </si>
  <si>
    <t>Jefe/a de Estadísticas</t>
  </si>
  <si>
    <t>SRA. EVELYN SOTO SAAVEDRA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</si>
  <si>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</si>
  <si>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</si>
  <si>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</si>
  <si>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</si>
  <si>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</si>
  <si>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</si>
  <si>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</si>
  <si>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</si>
  <si>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</si>
  <si>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</si>
  <si>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</si>
  <si>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</si>
  <si>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</si>
  <si>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</si>
  <si>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</si>
  <si>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</si>
  <si>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</si>
  <si>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</si>
  <si>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</si>
  <si>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</si>
  <si>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</si>
  <si>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</si>
  <si>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</si>
  <si>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</si>
  <si>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</si>
  <si>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</si>
  <si>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</si>
  <si>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</si>
  <si>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</si>
  <si>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</si>
  <si>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</si>
  <si>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</si>
  <si>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</si>
  <si>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</si>
  <si>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</si>
  <si>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</si>
  <si>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</si>
  <si>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</si>
  <si>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</si>
  <si>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</si>
  <si>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</si>
  <si>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</si>
  <si>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</si>
  <si>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</si>
  <si>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</si>
  <si>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</si>
  <si>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</si>
  <si>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</si>
  <si>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</si>
  <si>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</si>
  <si>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</si>
  <si>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</si>
  <si>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</si>
  <si>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</si>
  <si>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</si>
  <si>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</si>
  <si>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</si>
  <si>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</si>
  <si>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</si>
  <si>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</si>
  <si>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</si>
  <si>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</si>
  <si>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</si>
  <si>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</si>
  <si>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</si>
  <si>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</si>
  <si>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</si>
  <si>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</si>
  <si>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</si>
  <si>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</si>
  <si>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</si>
  <si>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</si>
  <si>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</si>
  <si>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</si>
  <si>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</si>
  <si>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</si>
  <si>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</si>
  <si>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</si>
  <si>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</si>
  <si>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</si>
  <si>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</si>
  <si>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</si>
  <si>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</si>
  <si>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</si>
  <si>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</si>
  <si>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</si>
  <si>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</si>
  <si>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</si>
  <si>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</si>
  <si>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</si>
  <si>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</si>
  <si>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</si>
  <si>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</si>
  <si>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</si>
  <si>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</si>
  <si>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</si>
  <si>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</si>
  <si>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</si>
  <si>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</si>
  <si>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</si>
  <si>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</si>
  <si>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</si>
  <si>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</si>
  <si>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</si>
  <si>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</si>
  <si>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</si>
  <si>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</si>
  <si>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</si>
  <si>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</si>
  <si>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</si>
  <si>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</si>
  <si>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</si>
  <si>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</si>
  <si>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</si>
  <si>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</si>
  <si>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</si>
  <si>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</si>
  <si>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</si>
  <si>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</si>
  <si>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</si>
  <si>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</si>
  <si>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</si>
  <si>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</si>
  <si>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</si>
  <si>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</si>
  <si>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</si>
  <si>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</si>
  <si>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</si>
  <si>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</si>
  <si>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</si>
  <si>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</si>
  <si>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</si>
  <si>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</si>
  <si>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</si>
  <si>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</si>
  <si>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</si>
  <si>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</si>
  <si>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</si>
  <si>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</si>
  <si>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</si>
  <si>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</si>
  <si>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</si>
  <si>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</si>
  <si>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</si>
  <si>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</si>
  <si>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</si>
  <si>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</si>
  <si>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</si>
  <si>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</si>
  <si>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</si>
  <si>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</si>
  <si>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</si>
  <si>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</si>
  <si>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</si>
  <si>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</si>
  <si>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</si>
  <si>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</si>
  <si>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</si>
  <si>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</si>
  <si>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</si>
  <si>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</si>
  <si>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</si>
  <si>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</si>
  <si>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</si>
  <si>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</si>
  <si>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</si>
  <si>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</si>
  <si>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</si>
  <si>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</si>
  <si>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</si>
  <si>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</si>
  <si>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</si>
  <si>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</si>
  <si>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</si>
  <si>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</si>
  <si>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</si>
  <si>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</si>
  <si>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</si>
  <si>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</si>
  <si>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</si>
  <si>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</si>
  <si>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</si>
  <si>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</si>
  <si>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</si>
  <si>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</si>
  <si>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</si>
  <si>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</si>
  <si>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</si>
  <si>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</si>
  <si>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</si>
  <si>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</si>
  <si>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</si>
  <si>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</si>
  <si>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</si>
  <si>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</si>
  <si>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</si>
  <si>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</si>
  <si>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</si>
  <si>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</si>
  <si>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</si>
  <si>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</si>
  <si>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</si>
  <si>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</si>
  <si>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</si>
  <si>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</si>
  <si>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</si>
  <si>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</si>
  <si>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</si>
  <si>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</si>
  <si>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</si>
  <si>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</si>
  <si>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</si>
  <si>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</si>
  <si>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</si>
  <si>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</si>
  <si>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</si>
  <si>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</si>
  <si>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</si>
  <si>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</si>
  <si>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</si>
  <si>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</si>
  <si>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</si>
  <si>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</si>
  <si>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</si>
  <si>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</si>
  <si>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</si>
  <si>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</si>
  <si>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</si>
  <si>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</si>
  <si>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</si>
  <si>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</si>
  <si>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</si>
  <si>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</si>
  <si>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</si>
  <si>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</si>
  <si>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</si>
  <si>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</si>
  <si>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</si>
  <si>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</si>
  <si>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</si>
  <si>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</si>
  <si>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</si>
  <si>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</si>
  <si>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</si>
  <si>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</si>
  <si>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</si>
  <si>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</si>
  <si>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</si>
  <si>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</si>
  <si>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</si>
  <si>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</si>
  <si>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</si>
  <si>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</si>
  <si>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</si>
  <si>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</si>
  <si>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</si>
  <si>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</si>
  <si>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</si>
  <si>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</si>
  <si>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</si>
  <si>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</si>
  <si>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</si>
  <si>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</si>
  <si>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</si>
  <si>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</si>
  <si>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</si>
  <si>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</si>
  <si>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</si>
  <si>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</si>
  <si>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</si>
  <si>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</si>
  <si>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</si>
  <si>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</si>
  <si>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</si>
  <si>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</si>
  <si>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</si>
  <si>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</si>
  <si>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</si>
  <si>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</si>
  <si>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</si>
  <si>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</si>
  <si>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</si>
  <si>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</si>
  <si>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</si>
  <si>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</si>
  <si>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</si>
  <si>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</si>
  <si>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</si>
  <si>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</si>
  <si>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</si>
  <si>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</si>
  <si>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</si>
  <si>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</si>
  <si>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</si>
  <si>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</si>
  <si>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</si>
  <si>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</si>
  <si>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</si>
  <si>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</si>
  <si>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</si>
  <si>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</si>
  <si>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</si>
  <si>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</si>
  <si>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</si>
  <si>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</si>
  <si>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</si>
  <si>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</si>
  <si>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</si>
  <si>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</si>
  <si>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</si>
  <si>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</si>
  <si>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</si>
  <si>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</si>
  <si>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</si>
  <si>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</si>
  <si>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</si>
  <si>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</si>
  <si>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</si>
  <si>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</si>
  <si>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</si>
  <si>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</si>
  <si>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</si>
  <si>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</si>
  <si>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</si>
  <si>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</si>
  <si>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</si>
  <si>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</si>
  <si>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</si>
  <si>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</si>
  <si>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</si>
  <si>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</si>
  <si>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</si>
  <si>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</si>
  <si>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</si>
  <si>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</si>
  <si>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</si>
  <si>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</si>
  <si>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</si>
  <si>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</si>
  <si>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</si>
  <si>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</si>
  <si>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</si>
  <si>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</si>
  <si>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</si>
  <si>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</si>
  <si>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</si>
  <si>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</si>
  <si>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</si>
  <si>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</si>
  <si>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</si>
  <si>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</si>
  <si>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</si>
  <si>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</si>
  <si>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</si>
  <si>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</si>
  <si>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</si>
  <si>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</si>
  <si>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</si>
  <si>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</si>
  <si>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</si>
  <si>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</si>
  <si>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</si>
  <si>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</si>
  <si>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</si>
  <si>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</si>
  <si>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</si>
  <si>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</si>
  <si>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</si>
  <si>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</si>
  <si>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</si>
  <si>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</si>
  <si>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</si>
  <si>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</si>
  <si>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</si>
  <si>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</si>
  <si>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</si>
  <si>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</si>
  <si>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</si>
  <si>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</si>
  <si>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COMUNITARIO DE SALUD FAMILIAR LAS QUILAS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</si>
</sst>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G10" sqref="G10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8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6</v>
      </c>
      <c r="AB12" s="35" t="s">
        <v>17</v>
      </c>
      <c r="AC12" s="108" t="s">
        <v>18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19</v>
      </c>
      <c r="AB13" s="35" t="s">
        <v>20</v>
      </c>
      <c r="AC13" s="108" t="s">
        <v>21</v>
      </c>
    </row>
    <row r="14" spans="1:33" ht="21" customHeight="1" x14ac:dyDescent="0.15">
      <c r="A14" s="280" t="s">
        <v>22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23</v>
      </c>
      <c r="AB14" s="35" t="s">
        <v>24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25</v>
      </c>
      <c r="AB15" s="35" t="s">
        <v>26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27</v>
      </c>
      <c r="AB16" s="35" t="s">
        <v>28</v>
      </c>
      <c r="AC16" s="109"/>
    </row>
    <row r="17" spans="2:29" ht="21" customHeight="1" x14ac:dyDescent="0.15">
      <c r="B17" s="282" t="s">
        <v>29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30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53" zoomScaleNormal="100" workbookViewId="0">
      <selection activeCell="D68" sqref="D68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</row>
    <row r="4" spans="1:6" x14ac:dyDescent="0.2">
      <c r="A4" s="50" t="str">
        <f>CONCATENATE("MES: ",NOMBRE!B6,"  ","( ",NOMBRE!C6,NOMBRE!D6," )")</f>
        <v>MES: FEBRERO  ( 02 )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63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64</v>
      </c>
      <c r="B10" s="325"/>
      <c r="C10" s="325"/>
    </row>
    <row r="11" spans="1:6" ht="12.75" customHeight="1" x14ac:dyDescent="0.2">
      <c r="A11" s="326" t="s">
        <v>65</v>
      </c>
      <c r="B11" s="327"/>
      <c r="C11" s="328"/>
      <c r="D11" s="320" t="s">
        <v>66</v>
      </c>
      <c r="E11" s="320" t="s">
        <v>67</v>
      </c>
      <c r="F11" s="292" t="s">
        <v>68</v>
      </c>
    </row>
    <row r="12" spans="1:6" ht="21.75" customHeight="1" x14ac:dyDescent="0.2">
      <c r="A12" s="329"/>
      <c r="B12" s="330"/>
      <c r="C12" s="331"/>
      <c r="D12" s="322"/>
      <c r="E12" s="322" t="s">
        <v>69</v>
      </c>
      <c r="F12" s="293" t="s">
        <v>69</v>
      </c>
    </row>
    <row r="13" spans="1:6" ht="20.25" customHeight="1" x14ac:dyDescent="0.2">
      <c r="A13" s="43" t="s">
        <v>70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32" t="s">
        <v>72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6" t="s">
        <v>74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6" t="s">
        <v>76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6" t="s">
        <v>78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6" t="s">
        <v>80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04" t="s">
        <v>82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0" t="s">
        <v>84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12" t="s">
        <v>87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88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89</v>
      </c>
      <c r="C24" s="180" t="s">
        <v>90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91</v>
      </c>
      <c r="D25" s="80">
        <f>SUM(F25)</f>
        <v>0</v>
      </c>
      <c r="E25" s="100"/>
      <c r="F25" s="93"/>
    </row>
    <row r="26" spans="1:6" ht="17.25" customHeight="1" x14ac:dyDescent="0.2">
      <c r="A26" s="321"/>
      <c r="B26" s="318" t="s">
        <v>92</v>
      </c>
      <c r="C26" s="133" t="s">
        <v>90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91</v>
      </c>
      <c r="D27" s="80">
        <f t="shared" si="3"/>
        <v>0</v>
      </c>
      <c r="E27" s="92"/>
      <c r="F27" s="93"/>
    </row>
    <row r="28" spans="1:6" ht="17.25" customHeight="1" x14ac:dyDescent="0.2">
      <c r="A28" s="321"/>
      <c r="B28" s="318" t="s">
        <v>93</v>
      </c>
      <c r="C28" s="133" t="s">
        <v>90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91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94</v>
      </c>
      <c r="C30" s="133" t="s">
        <v>90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91</v>
      </c>
      <c r="D31" s="80">
        <f t="shared" si="3"/>
        <v>0</v>
      </c>
      <c r="E31" s="92"/>
      <c r="F31" s="93"/>
    </row>
    <row r="32" spans="1:6" ht="17.25" customHeight="1" x14ac:dyDescent="0.2">
      <c r="A32" s="321"/>
      <c r="B32" s="308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91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97</v>
      </c>
      <c r="C36" s="133" t="s">
        <v>90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91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2" t="s">
        <v>99</v>
      </c>
      <c r="B40" s="292" t="s">
        <v>66</v>
      </c>
      <c r="C40" s="320" t="s">
        <v>67</v>
      </c>
      <c r="D40" s="292" t="s">
        <v>68</v>
      </c>
    </row>
    <row r="41" spans="1:6" ht="25.5" customHeight="1" x14ac:dyDescent="0.2">
      <c r="A41" s="293"/>
      <c r="B41" s="294"/>
      <c r="C41" s="322" t="s">
        <v>69</v>
      </c>
      <c r="D41" s="293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81</v>
      </c>
      <c r="C46" s="83">
        <f>BM18A!D148</f>
        <v>0</v>
      </c>
      <c r="D46" s="83">
        <f>BM18A!E148</f>
        <v>81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23</v>
      </c>
      <c r="C50" s="79">
        <f>BM18A!D177</f>
        <v>0</v>
      </c>
      <c r="D50" s="79">
        <f>BM18A!E177</f>
        <v>23</v>
      </c>
    </row>
    <row r="51" spans="1:4" ht="16.5" customHeight="1" x14ac:dyDescent="0.2">
      <c r="A51" s="223" t="s">
        <v>109</v>
      </c>
      <c r="B51" s="90">
        <f t="shared" si="4"/>
        <v>427</v>
      </c>
      <c r="C51" s="81">
        <f>BM18A!D206</f>
        <v>0</v>
      </c>
      <c r="D51" s="81">
        <f>BM18A!E206</f>
        <v>427</v>
      </c>
    </row>
    <row r="52" spans="1:4" ht="17.25" customHeight="1" x14ac:dyDescent="0.2">
      <c r="A52" s="91" t="s">
        <v>66</v>
      </c>
      <c r="B52" s="77">
        <f>SUM(B42:B51)</f>
        <v>531</v>
      </c>
      <c r="C52" s="77">
        <f>SUM(C42:C51)</f>
        <v>0</v>
      </c>
      <c r="D52" s="77">
        <f>SUM(D42:D51)</f>
        <v>531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02" t="s">
        <v>111</v>
      </c>
      <c r="B55" s="300" t="s">
        <v>66</v>
      </c>
    </row>
    <row r="56" spans="1:4" x14ac:dyDescent="0.2">
      <c r="A56" s="303"/>
      <c r="B56" s="30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298" t="s">
        <v>114</v>
      </c>
      <c r="B59" s="299"/>
      <c r="C59" s="103" t="s">
        <v>115</v>
      </c>
      <c r="D59" s="104" t="s">
        <v>116</v>
      </c>
    </row>
    <row r="60" spans="1:4" ht="16.5" customHeight="1" x14ac:dyDescent="0.2">
      <c r="A60" s="295" t="s">
        <v>117</v>
      </c>
      <c r="B60" s="208" t="s">
        <v>118</v>
      </c>
      <c r="C60" s="87">
        <v>196</v>
      </c>
      <c r="D60" s="84"/>
    </row>
    <row r="61" spans="1:4" ht="16.5" customHeight="1" x14ac:dyDescent="0.2">
      <c r="A61" s="296"/>
      <c r="B61" s="12" t="s">
        <v>119</v>
      </c>
      <c r="C61" s="88"/>
      <c r="D61" s="85"/>
    </row>
    <row r="62" spans="1:4" ht="16.5" customHeight="1" x14ac:dyDescent="0.2">
      <c r="A62" s="297"/>
      <c r="B62" s="13" t="s">
        <v>120</v>
      </c>
      <c r="C62" s="89"/>
      <c r="D62" s="86"/>
    </row>
    <row r="96" spans="1:1" hidden="1" x14ac:dyDescent="0.2">
      <c r="A96" s="215">
        <f>SUM(D13:D37,B42:B52,B57,C60:C62)</f>
        <v>1258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56" zoomScaleNormal="100" workbookViewId="0">
      <selection activeCell="E210" sqref="E210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FEBRERO  ( 02 )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121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56" t="s">
        <v>1</v>
      </c>
      <c r="B10" s="352" t="s">
        <v>65</v>
      </c>
      <c r="C10" s="354" t="s">
        <v>66</v>
      </c>
      <c r="D10" s="352" t="s">
        <v>67</v>
      </c>
      <c r="E10" s="357" t="s">
        <v>68</v>
      </c>
      <c r="F10" s="352" t="s">
        <v>122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123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46" t="s">
        <v>66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138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34" t="s">
        <v>66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179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34" t="s">
        <v>66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78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34" t="s">
        <v>66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80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34" t="s">
        <v>66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222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34" t="s">
        <v>66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34" t="s">
        <v>66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242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243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0</v>
      </c>
      <c r="D114" s="65">
        <v>0</v>
      </c>
      <c r="E114" s="114">
        <v>0</v>
      </c>
      <c r="F114" s="65">
        <v>0</v>
      </c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>
        <v>0</v>
      </c>
      <c r="E115" s="114">
        <v>0</v>
      </c>
      <c r="F115" s="65">
        <v>0</v>
      </c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99</v>
      </c>
      <c r="C121" s="352" t="s">
        <v>69</v>
      </c>
      <c r="D121" s="352" t="s">
        <v>67</v>
      </c>
      <c r="E121" s="357" t="s">
        <v>68</v>
      </c>
      <c r="F121" s="354" t="s">
        <v>122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299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34" t="s">
        <v>66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304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34" t="s">
        <v>66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314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51</v>
      </c>
      <c r="D143" s="194">
        <v>0</v>
      </c>
      <c r="E143" s="247">
        <v>51</v>
      </c>
      <c r="F143" s="257">
        <v>0</v>
      </c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>
        <v>0</v>
      </c>
      <c r="E144" s="260"/>
      <c r="F144" s="250">
        <v>0</v>
      </c>
    </row>
    <row r="145" spans="1:6" ht="15" customHeight="1" x14ac:dyDescent="0.2">
      <c r="A145" s="60"/>
      <c r="B145" s="129" t="s">
        <v>319</v>
      </c>
      <c r="C145" s="73">
        <f>SUM(D145:E145)</f>
        <v>30</v>
      </c>
      <c r="D145" s="196">
        <v>0</v>
      </c>
      <c r="E145" s="261">
        <v>30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34" t="s">
        <v>66</v>
      </c>
      <c r="B148" s="336"/>
      <c r="C148" s="159">
        <f>SUM(C143:C147)</f>
        <v>81</v>
      </c>
      <c r="D148" s="159">
        <f t="shared" ref="D148" si="16">SUM(D143:D147)</f>
        <v>0</v>
      </c>
      <c r="E148" s="263">
        <f>SUM(E143:E147)</f>
        <v>81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322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>
        <v>0</v>
      </c>
      <c r="E151" s="113">
        <v>0</v>
      </c>
      <c r="F151" s="257">
        <v>0</v>
      </c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0</v>
      </c>
      <c r="D154" s="214">
        <v>0</v>
      </c>
      <c r="E154" s="115">
        <v>0</v>
      </c>
      <c r="F154" s="250">
        <v>0</v>
      </c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34" t="s">
        <v>66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333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34" t="s">
        <v>66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338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339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34" t="s">
        <v>66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341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4</v>
      </c>
      <c r="D172" s="242">
        <v>0</v>
      </c>
      <c r="E172" s="113">
        <v>4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2</v>
      </c>
      <c r="D173" s="65">
        <v>0</v>
      </c>
      <c r="E173" s="114">
        <v>2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1</v>
      </c>
      <c r="D174" s="65">
        <v>0</v>
      </c>
      <c r="E174" s="114">
        <v>1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16</v>
      </c>
      <c r="D175" s="65">
        <v>0</v>
      </c>
      <c r="E175" s="114">
        <v>16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0</v>
      </c>
      <c r="D176" s="201">
        <v>0</v>
      </c>
      <c r="E176" s="270">
        <v>0</v>
      </c>
      <c r="F176" s="246"/>
    </row>
    <row r="177" spans="1:6" ht="15" customHeight="1" x14ac:dyDescent="0.2">
      <c r="A177" s="334" t="s">
        <v>66</v>
      </c>
      <c r="B177" s="336"/>
      <c r="C177" s="155">
        <f>SUM(C172:C176)</f>
        <v>23</v>
      </c>
      <c r="D177" s="155">
        <f t="shared" ref="D177:E177" si="20">SUM(D172:D176)</f>
        <v>0</v>
      </c>
      <c r="E177" s="271">
        <f t="shared" si="20"/>
        <v>23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347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66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109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15</v>
      </c>
      <c r="D189" s="225">
        <v>0</v>
      </c>
      <c r="E189" s="266">
        <v>15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>
        <v>0</v>
      </c>
      <c r="E190" s="255">
        <v>0</v>
      </c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65</v>
      </c>
      <c r="D191" s="210">
        <v>0</v>
      </c>
      <c r="E191" s="255">
        <v>65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8</v>
      </c>
      <c r="D192" s="210">
        <v>0</v>
      </c>
      <c r="E192" s="255">
        <v>8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0</v>
      </c>
      <c r="D193" s="210">
        <v>0</v>
      </c>
      <c r="E193" s="255">
        <v>0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0</v>
      </c>
      <c r="D194" s="226">
        <v>0</v>
      </c>
      <c r="E194" s="277">
        <v>0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0</v>
      </c>
      <c r="D195" s="210">
        <v>0</v>
      </c>
      <c r="E195" s="255">
        <v>0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137</v>
      </c>
      <c r="D202" s="210">
        <v>0</v>
      </c>
      <c r="E202" s="255">
        <v>137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0</v>
      </c>
      <c r="D203" s="210">
        <v>0</v>
      </c>
      <c r="E203" s="255">
        <v>0</v>
      </c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196</v>
      </c>
      <c r="D204" s="210">
        <v>0</v>
      </c>
      <c r="E204" s="255">
        <v>196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6</v>
      </c>
      <c r="D205" s="211">
        <v>0</v>
      </c>
      <c r="E205" s="255">
        <v>6</v>
      </c>
      <c r="F205" s="258"/>
    </row>
    <row r="206" spans="1:6" ht="15" customHeight="1" x14ac:dyDescent="0.2">
      <c r="A206" s="334" t="s">
        <v>66</v>
      </c>
      <c r="B206" s="336"/>
      <c r="C206" s="72">
        <f>SUM(C189:C205)</f>
        <v>427</v>
      </c>
      <c r="D206" s="212">
        <f t="shared" ref="D206:F206" si="24">SUM(D189:D205)</f>
        <v>0</v>
      </c>
      <c r="E206" s="256">
        <f t="shared" si="24"/>
        <v>427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FEBRERO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2025-03-06T20:14:21Z</dcterms:modified>
  <cp:category/>
  <cp:contentStatus/>
</cp:coreProperties>
</file>