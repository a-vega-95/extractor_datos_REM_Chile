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"/>
    </mc:Choice>
  </mc:AlternateContent>
  <xr:revisionPtr revIDLastSave="0" documentId="8_{FA3597EB-AC98-43CC-B83E-3D8FE5DA446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8775" yWindow="450" windowWidth="19080" windowHeight="12555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<sst xmlns="http://schemas.openxmlformats.org/spreadsheetml/2006/main" count="452" uniqueCount="397">
  <si>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</si>
  <si>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</si>
  <si>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</si>
  <si>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</si>
  <si>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</si>
  <si>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 xml:space="preserve">POSTA DE SALUD RURAL CONOCO 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</si>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</sst>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J22" sqref="J2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A51" sqref="A51"/>
    </sheetView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 ( 121463 )</v>
      </c>
    </row>
    <row r="4" spans="1:6">
      <c r="A4" s="50" t="str">
        <f>CONCATENATE("MES: ",NOMBRE!B6,"  ","( ",NOMBRE!C6,NOMBRE!D6," )")</f>
        <v>MES: FEBRERO  ( 02 )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20</v>
      </c>
      <c r="C46" s="83">
        <f>BM18A!D148</f>
        <v>0</v>
      </c>
      <c r="D46" s="83">
        <f>BM18A!E148</f>
        <v>20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122</v>
      </c>
      <c r="C51" s="81">
        <f>BM18A!D206</f>
        <v>0</v>
      </c>
      <c r="D51" s="81">
        <f>BM18A!E206</f>
        <v>122</v>
      </c>
    </row>
    <row r="52" spans="1:4" ht="17.25" customHeight="1">
      <c r="A52" s="91" t="s">
        <v>67</v>
      </c>
      <c r="B52" s="77">
        <f>SUM(B42:B51)</f>
        <v>143</v>
      </c>
      <c r="C52" s="77">
        <f>SUM(C42:C51)</f>
        <v>0</v>
      </c>
      <c r="D52" s="77">
        <f>SUM(D42:D51)</f>
        <v>143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286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2" zoomScaleNormal="100" workbookViewId="0">
      <selection activeCell="J200" sqref="J200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7</v>
      </c>
      <c r="D143" s="194"/>
      <c r="E143" s="247">
        <v>7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13</v>
      </c>
      <c r="D145" s="196"/>
      <c r="E145" s="261">
        <v>13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20</v>
      </c>
      <c r="D148" s="159">
        <f t="shared" ref="D148" si="16">SUM(D143:D147)</f>
        <v>0</v>
      </c>
      <c r="E148" s="263">
        <f>SUM(E143:E147)</f>
        <v>20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1</v>
      </c>
      <c r="D176" s="201"/>
      <c r="E176" s="270">
        <v>1</v>
      </c>
      <c r="F176" s="246"/>
    </row>
    <row r="177" spans="1:6" ht="15" customHeight="1">
      <c r="A177" s="334" t="s">
        <v>67</v>
      </c>
      <c r="B177" s="33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37</v>
      </c>
      <c r="D189" s="225"/>
      <c r="E189" s="266">
        <v>37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5</v>
      </c>
      <c r="D191" s="210"/>
      <c r="E191" s="255">
        <v>5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47</v>
      </c>
      <c r="D195" s="210"/>
      <c r="E195" s="255">
        <v>47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18</v>
      </c>
      <c r="D202" s="210"/>
      <c r="E202" s="255">
        <v>18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15</v>
      </c>
      <c r="D204" s="210"/>
      <c r="E204" s="255">
        <v>15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122</v>
      </c>
      <c r="D206" s="212">
        <f t="shared" ref="D206:F206" si="24">SUM(D189:D205)</f>
        <v>0</v>
      </c>
      <c r="E206" s="256">
        <f t="shared" si="24"/>
        <v>122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 - 121463 
   / MES:  FEBRERO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2025-03-06T13:59:41Z</dcterms:modified>
  <cp:category/>
  <cp:contentStatus/>
</cp:coreProperties>
</file>