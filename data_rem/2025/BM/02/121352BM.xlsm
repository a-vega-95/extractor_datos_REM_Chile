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364A7BB7-9026-4B0D-AD0B-91977805CE3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880" yWindow="340" windowWidth="22080" windowHeight="1413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<sst xmlns="http://schemas.openxmlformats.org/spreadsheetml/2006/main" count="452" uniqueCount="397">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</sst>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3" sqref="B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5" zoomScaleNormal="100" workbookViewId="0">
      <selection activeCell="B64" sqref="B64"/>
    </sheetView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>
      <c r="A4" s="50" t="str">
        <f>CONCATENATE("MES: ",NOMBRE!B6,"  ","( ",NOMBRE!C6,NOMBRE!D6," )")</f>
        <v>MES: FEBRERO  ( 02 )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5</v>
      </c>
      <c r="E13" s="77">
        <f>SUM(E14:E20)</f>
        <v>0</v>
      </c>
      <c r="F13" s="77">
        <f>SUM(F14:F20)</f>
        <v>5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5</v>
      </c>
      <c r="E20" s="78">
        <f>BM18A!D88</f>
        <v>0</v>
      </c>
      <c r="F20" s="78">
        <f>BM18A!E88</f>
        <v>5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17</v>
      </c>
      <c r="C43" s="83">
        <f>BM18A!D158</f>
        <v>0</v>
      </c>
      <c r="D43" s="83">
        <f>BM18A!E158</f>
        <v>17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232</v>
      </c>
      <c r="C46" s="83">
        <f>BM18A!D148</f>
        <v>0</v>
      </c>
      <c r="D46" s="83">
        <f>BM18A!E148</f>
        <v>232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54</v>
      </c>
      <c r="C50" s="79">
        <f>BM18A!D177</f>
        <v>0</v>
      </c>
      <c r="D50" s="79">
        <f>BM18A!E177</f>
        <v>54</v>
      </c>
    </row>
    <row r="51" spans="1:4" ht="16.5" customHeight="1">
      <c r="A51" s="223" t="s">
        <v>110</v>
      </c>
      <c r="B51" s="90">
        <f t="shared" si="4"/>
        <v>938</v>
      </c>
      <c r="C51" s="81">
        <f>BM18A!D206</f>
        <v>0</v>
      </c>
      <c r="D51" s="81">
        <f>BM18A!E206</f>
        <v>938</v>
      </c>
    </row>
    <row r="52" spans="1:4" ht="17.25" customHeight="1">
      <c r="A52" s="91" t="s">
        <v>67</v>
      </c>
      <c r="B52" s="77">
        <f>SUM(B42:B51)</f>
        <v>1245</v>
      </c>
      <c r="C52" s="77">
        <f>SUM(C42:C51)</f>
        <v>0</v>
      </c>
      <c r="D52" s="77">
        <f>SUM(D42:D51)</f>
        <v>1245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>
        <v>26</v>
      </c>
      <c r="D60" s="84">
        <v>0</v>
      </c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2526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zoomScaleNormal="100" workbookViewId="0">
      <selection activeCell="B204" sqref="B204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5</v>
      </c>
      <c r="D83" s="65"/>
      <c r="E83" s="114">
        <v>5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>
      <c r="A88" s="334" t="s">
        <v>67</v>
      </c>
      <c r="B88" s="336"/>
      <c r="C88" s="160">
        <f>SUM(C81:C87)</f>
        <v>5</v>
      </c>
      <c r="D88" s="156">
        <f>SUM(D81:D87)</f>
        <v>0</v>
      </c>
      <c r="E88" s="157">
        <f>SUM(E81:E87)</f>
        <v>5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5</v>
      </c>
      <c r="D89" s="156">
        <f>+D20+D43+D49+D54+D73+D78+D88</f>
        <v>0</v>
      </c>
      <c r="E89" s="157">
        <f>+E20+E43+E49+E54+E73+E78+E88</f>
        <v>5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125</v>
      </c>
      <c r="D143" s="194"/>
      <c r="E143" s="247">
        <v>125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>
      <c r="A145" s="60"/>
      <c r="B145" s="129" t="s">
        <v>320</v>
      </c>
      <c r="C145" s="73">
        <f>SUM(D145:E145)</f>
        <v>107</v>
      </c>
      <c r="D145" s="196"/>
      <c r="E145" s="261">
        <v>107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>
      <c r="A148" s="334" t="s">
        <v>67</v>
      </c>
      <c r="B148" s="336"/>
      <c r="C148" s="159">
        <f>SUM(C143:C147)</f>
        <v>232</v>
      </c>
      <c r="D148" s="159">
        <f t="shared" ref="D148" si="16">SUM(D143:D147)</f>
        <v>0</v>
      </c>
      <c r="E148" s="263">
        <f>SUM(E143:E147)</f>
        <v>232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8</v>
      </c>
      <c r="D156" s="210"/>
      <c r="E156" s="255">
        <v>8</v>
      </c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>
      <c r="A158" s="334" t="s">
        <v>67</v>
      </c>
      <c r="B158" s="336"/>
      <c r="C158" s="72">
        <f>SUM(C151:C157)</f>
        <v>17</v>
      </c>
      <c r="D158" s="212">
        <f t="shared" ref="D158:F158" si="18">SUM(D151:D157)</f>
        <v>0</v>
      </c>
      <c r="E158" s="256">
        <f t="shared" si="18"/>
        <v>17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4</v>
      </c>
      <c r="D167" s="240"/>
      <c r="E167" s="266">
        <v>4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>
      <c r="A169" s="334" t="s">
        <v>67</v>
      </c>
      <c r="B169" s="33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7</v>
      </c>
      <c r="D172" s="242"/>
      <c r="E172" s="113">
        <v>7</v>
      </c>
      <c r="F172" s="264"/>
    </row>
    <row r="173" spans="1:6" ht="15" customHeight="1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1</v>
      </c>
      <c r="D174" s="65"/>
      <c r="E174" s="114">
        <v>1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40</v>
      </c>
      <c r="D175" s="65"/>
      <c r="E175" s="114">
        <v>40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>
      <c r="A177" s="334" t="s">
        <v>67</v>
      </c>
      <c r="B177" s="336"/>
      <c r="C177" s="155">
        <f>SUM(C172:C176)</f>
        <v>54</v>
      </c>
      <c r="D177" s="155">
        <f t="shared" ref="D177:E177" si="20">SUM(D172:D176)</f>
        <v>0</v>
      </c>
      <c r="E177" s="271">
        <f t="shared" si="20"/>
        <v>54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29</v>
      </c>
      <c r="D189" s="225"/>
      <c r="E189" s="266">
        <v>29</v>
      </c>
      <c r="F189" s="272"/>
    </row>
    <row r="190" spans="1:6" ht="15" customHeight="1">
      <c r="A190" s="202"/>
      <c r="B190" s="121" t="s">
        <v>356</v>
      </c>
      <c r="C190" s="188">
        <f t="shared" si="22"/>
        <v>9</v>
      </c>
      <c r="D190" s="226"/>
      <c r="E190" s="255">
        <v>9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122</v>
      </c>
      <c r="D191" s="210"/>
      <c r="E191" s="255">
        <v>122</v>
      </c>
      <c r="F191" s="246"/>
    </row>
    <row r="192" spans="1:6" ht="15" customHeight="1">
      <c r="A192" s="62"/>
      <c r="B192" s="129" t="s">
        <v>359</v>
      </c>
      <c r="C192" s="188">
        <f t="shared" si="22"/>
        <v>53</v>
      </c>
      <c r="D192" s="210"/>
      <c r="E192" s="255">
        <v>53</v>
      </c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>
        <v>0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98</v>
      </c>
      <c r="D195" s="210"/>
      <c r="E195" s="255">
        <v>98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1</v>
      </c>
      <c r="D200" s="210"/>
      <c r="E200" s="255">
        <v>1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206</v>
      </c>
      <c r="D202" s="210"/>
      <c r="E202" s="255">
        <v>206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14</v>
      </c>
      <c r="D203" s="210"/>
      <c r="E203" s="255">
        <v>14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402</v>
      </c>
      <c r="D204" s="210"/>
      <c r="E204" s="255">
        <v>402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4</v>
      </c>
      <c r="D205" s="211"/>
      <c r="E205" s="255">
        <v>4</v>
      </c>
      <c r="F205" s="258"/>
    </row>
    <row r="206" spans="1:6" ht="15" customHeight="1">
      <c r="A206" s="334" t="s">
        <v>67</v>
      </c>
      <c r="B206" s="336"/>
      <c r="C206" s="72">
        <f>SUM(C189:C205)</f>
        <v>938</v>
      </c>
      <c r="D206" s="212">
        <f t="shared" ref="D206:F206" si="24">SUM(D189:D205)</f>
        <v>0</v>
      </c>
      <c r="E206" s="256">
        <f t="shared" si="24"/>
        <v>938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FEBRERO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2025-03-06T20:15:05Z</dcterms:modified>
  <cp:category/>
  <cp:contentStatus/>
</cp:coreProperties>
</file>