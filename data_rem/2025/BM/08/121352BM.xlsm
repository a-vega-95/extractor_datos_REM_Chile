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7411EADC-E0F7-4927-B398-5F578E9958B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38865" yWindow="240" windowWidth="20085" windowHeight="12510" tabRatio="765" firstSheet="4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<sst xmlns="http://schemas.openxmlformats.org/spreadsheetml/2006/main" count="452" uniqueCount="397">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</sst>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13" sqref="E13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8" zoomScaleNormal="100" workbookViewId="0">
      <selection activeCell="H61" sqref="H61"/>
    </sheetView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</row>
    <row r="4" spans="1:6">
      <c r="A4" s="50" t="str">
        <f>CONCATENATE("MES: ",NOMBRE!B6,"  ","( ",NOMBRE!C6,NOMBRE!D6," )")</f>
        <v>MES: AGOSTO  ( 08 )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8</v>
      </c>
      <c r="E13" s="77">
        <f>SUM(E14:E20)</f>
        <v>0</v>
      </c>
      <c r="F13" s="77">
        <f>SUM(F14:F20)</f>
        <v>8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8</v>
      </c>
      <c r="E20" s="78">
        <f>BM18A!D88</f>
        <v>0</v>
      </c>
      <c r="F20" s="78">
        <f>BM18A!E88</f>
        <v>8</v>
      </c>
    </row>
    <row r="21" spans="1:6" ht="17.25" customHeight="1">
      <c r="A21" s="43" t="s">
        <v>86</v>
      </c>
      <c r="B21" s="323"/>
      <c r="C21" s="324"/>
      <c r="D21" s="77">
        <f>SUM(E21:F21)</f>
        <v>7</v>
      </c>
      <c r="E21" s="77">
        <f>SUM(E22+E23)</f>
        <v>0</v>
      </c>
      <c r="F21" s="77">
        <f>SUM(F22+F23)</f>
        <v>7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7</v>
      </c>
      <c r="E23" s="78">
        <f>SUM(BM18A!D114:D118)</f>
        <v>0</v>
      </c>
      <c r="F23" s="80">
        <f>SUM(BM18A!E114:E118)</f>
        <v>7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>
      <c r="A25" s="321"/>
      <c r="B25" s="317"/>
      <c r="C25" s="134" t="s">
        <v>92</v>
      </c>
      <c r="D25" s="80">
        <f>SUM(F25)</f>
        <v>4</v>
      </c>
      <c r="E25" s="100"/>
      <c r="F25" s="93">
        <v>4</v>
      </c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>
      <c r="A27" s="321"/>
      <c r="B27" s="317"/>
      <c r="C27" s="134" t="s">
        <v>92</v>
      </c>
      <c r="D27" s="80">
        <f t="shared" si="3"/>
        <v>2</v>
      </c>
      <c r="E27" s="92"/>
      <c r="F27" s="93">
        <v>2</v>
      </c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>
      <c r="A31" s="321"/>
      <c r="B31" s="317"/>
      <c r="C31" s="134" t="s">
        <v>92</v>
      </c>
      <c r="D31" s="80">
        <f t="shared" si="3"/>
        <v>1</v>
      </c>
      <c r="E31" s="92"/>
      <c r="F31" s="93">
        <v>1</v>
      </c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7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36</v>
      </c>
      <c r="C43" s="83">
        <f>BM18A!D158</f>
        <v>0</v>
      </c>
      <c r="D43" s="83">
        <f>BM18A!E158</f>
        <v>36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111</v>
      </c>
      <c r="C46" s="83">
        <f>BM18A!D148</f>
        <v>0</v>
      </c>
      <c r="D46" s="83">
        <f>BM18A!E148</f>
        <v>111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61</v>
      </c>
      <c r="C50" s="79">
        <f>BM18A!D177</f>
        <v>0</v>
      </c>
      <c r="D50" s="79">
        <f>BM18A!E177</f>
        <v>61</v>
      </c>
    </row>
    <row r="51" spans="1:4" ht="16.5" customHeight="1">
      <c r="A51" s="223" t="s">
        <v>110</v>
      </c>
      <c r="B51" s="90">
        <f t="shared" si="4"/>
        <v>1073</v>
      </c>
      <c r="C51" s="81">
        <f>BM18A!D206</f>
        <v>0</v>
      </c>
      <c r="D51" s="81">
        <f>BM18A!E206</f>
        <v>1073</v>
      </c>
    </row>
    <row r="52" spans="1:4" ht="17.25" customHeight="1">
      <c r="A52" s="91" t="s">
        <v>67</v>
      </c>
      <c r="B52" s="77">
        <f>SUM(B42:B51)</f>
        <v>1283</v>
      </c>
      <c r="C52" s="77">
        <f>SUM(C42:C51)</f>
        <v>0</v>
      </c>
      <c r="D52" s="77">
        <f>SUM(D42:D51)</f>
        <v>1283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>
        <v>0</v>
      </c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>
        <v>69</v>
      </c>
      <c r="D60" s="84">
        <v>0</v>
      </c>
    </row>
    <row r="61" spans="1:4" ht="16.5" customHeight="1">
      <c r="A61" s="296"/>
      <c r="B61" s="12" t="s">
        <v>120</v>
      </c>
      <c r="C61" s="88">
        <v>0</v>
      </c>
      <c r="D61" s="85"/>
    </row>
    <row r="62" spans="1:4" ht="16.5" customHeight="1">
      <c r="A62" s="297"/>
      <c r="B62" s="13" t="s">
        <v>121</v>
      </c>
      <c r="C62" s="89">
        <v>0</v>
      </c>
      <c r="D62" s="86"/>
    </row>
    <row r="96" spans="1:1" hidden="1">
      <c r="A96" s="215">
        <f>SUM(D13:D37,B42:B52,B57,C60:C62)</f>
        <v>2679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8" zoomScaleNormal="100" workbookViewId="0">
      <selection activeCell="E196" sqref="E196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8</v>
      </c>
      <c r="D83" s="65"/>
      <c r="E83" s="114">
        <v>8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>
      <c r="A88" s="334" t="s">
        <v>67</v>
      </c>
      <c r="B88" s="336"/>
      <c r="C88" s="160">
        <f>SUM(C81:C87)</f>
        <v>8</v>
      </c>
      <c r="D88" s="156">
        <f>SUM(D81:D87)</f>
        <v>0</v>
      </c>
      <c r="E88" s="157">
        <f>SUM(E81:E87)</f>
        <v>8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8</v>
      </c>
      <c r="D89" s="156">
        <f>+D20+D43+D49+D54+D73+D78+D88</f>
        <v>0</v>
      </c>
      <c r="E89" s="157">
        <f>+E20+E43+E49+E54+E73+E78+E88</f>
        <v>8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7</v>
      </c>
      <c r="D114" s="65"/>
      <c r="E114" s="114">
        <v>7</v>
      </c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88</v>
      </c>
      <c r="D143" s="194"/>
      <c r="E143" s="247">
        <v>88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>
      <c r="A145" s="60"/>
      <c r="B145" s="129" t="s">
        <v>320</v>
      </c>
      <c r="C145" s="73">
        <f>SUM(D145:E145)</f>
        <v>23</v>
      </c>
      <c r="D145" s="196"/>
      <c r="E145" s="261">
        <v>23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>
      <c r="A148" s="334" t="s">
        <v>67</v>
      </c>
      <c r="B148" s="336"/>
      <c r="C148" s="159">
        <f>SUM(C143:C147)</f>
        <v>111</v>
      </c>
      <c r="D148" s="159">
        <f t="shared" ref="D148" si="16">SUM(D143:D147)</f>
        <v>0</v>
      </c>
      <c r="E148" s="263">
        <f>SUM(E143:E147)</f>
        <v>111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6</v>
      </c>
      <c r="D151" s="237"/>
      <c r="E151" s="113">
        <v>6</v>
      </c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29</v>
      </c>
      <c r="D154" s="214"/>
      <c r="E154" s="115">
        <v>29</v>
      </c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>
      <c r="A158" s="334" t="s">
        <v>67</v>
      </c>
      <c r="B158" s="336"/>
      <c r="C158" s="72">
        <f>SUM(C151:C157)</f>
        <v>36</v>
      </c>
      <c r="D158" s="212">
        <f t="shared" ref="D158:F158" si="18">SUM(D151:D157)</f>
        <v>0</v>
      </c>
      <c r="E158" s="256">
        <f t="shared" si="18"/>
        <v>36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>
      <c r="A169" s="334" t="s">
        <v>67</v>
      </c>
      <c r="B169" s="33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7</v>
      </c>
      <c r="D172" s="242"/>
      <c r="E172" s="113">
        <v>7</v>
      </c>
      <c r="F172" s="264"/>
    </row>
    <row r="173" spans="1:6" ht="15" customHeight="1">
      <c r="A173" s="60"/>
      <c r="B173" s="121" t="s">
        <v>344</v>
      </c>
      <c r="C173" s="188">
        <f>SUM(D173:E173)</f>
        <v>4</v>
      </c>
      <c r="D173" s="65"/>
      <c r="E173" s="114">
        <v>4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>
        <v>0</v>
      </c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14</v>
      </c>
      <c r="D175" s="65"/>
      <c r="E175" s="114">
        <v>14</v>
      </c>
      <c r="F175" s="246"/>
    </row>
    <row r="176" spans="1:6" ht="15" customHeight="1">
      <c r="A176" s="200"/>
      <c r="B176" s="198" t="s">
        <v>347</v>
      </c>
      <c r="C176" s="75">
        <f t="shared" si="19"/>
        <v>36</v>
      </c>
      <c r="D176" s="201"/>
      <c r="E176" s="270">
        <v>36</v>
      </c>
      <c r="F176" s="246"/>
    </row>
    <row r="177" spans="1:6" ht="15" customHeight="1">
      <c r="A177" s="334" t="s">
        <v>67</v>
      </c>
      <c r="B177" s="336"/>
      <c r="C177" s="155">
        <f>SUM(C172:C176)</f>
        <v>61</v>
      </c>
      <c r="D177" s="155">
        <f t="shared" ref="D177:E177" si="20">SUM(D172:D176)</f>
        <v>0</v>
      </c>
      <c r="E177" s="271">
        <f t="shared" si="20"/>
        <v>61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5</v>
      </c>
      <c r="D189" s="225"/>
      <c r="E189" s="266">
        <v>5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105</v>
      </c>
      <c r="D191" s="210"/>
      <c r="E191" s="255">
        <v>105</v>
      </c>
      <c r="F191" s="246"/>
    </row>
    <row r="192" spans="1:6" ht="15" customHeight="1">
      <c r="A192" s="62"/>
      <c r="B192" s="129" t="s">
        <v>359</v>
      </c>
      <c r="C192" s="188">
        <f t="shared" si="22"/>
        <v>40</v>
      </c>
      <c r="D192" s="210"/>
      <c r="E192" s="255">
        <v>40</v>
      </c>
      <c r="F192" s="246"/>
    </row>
    <row r="193" spans="1:6" ht="15" customHeight="1">
      <c r="A193" s="62"/>
      <c r="B193" s="129" t="s">
        <v>360</v>
      </c>
      <c r="C193" s="188">
        <f t="shared" si="22"/>
        <v>9</v>
      </c>
      <c r="D193" s="210"/>
      <c r="E193" s="255">
        <v>9</v>
      </c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>
        <v>0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707</v>
      </c>
      <c r="D195" s="210"/>
      <c r="E195" s="255">
        <v>707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173</v>
      </c>
      <c r="D202" s="210"/>
      <c r="E202" s="255">
        <v>173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8</v>
      </c>
      <c r="D203" s="210"/>
      <c r="E203" s="255">
        <v>8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26</v>
      </c>
      <c r="D204" s="210"/>
      <c r="E204" s="255">
        <v>26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>
        <v>0</v>
      </c>
      <c r="F205" s="258"/>
    </row>
    <row r="206" spans="1:6" ht="15" customHeight="1">
      <c r="A206" s="334" t="s">
        <v>67</v>
      </c>
      <c r="B206" s="336"/>
      <c r="C206" s="72">
        <f>SUM(C189:C205)</f>
        <v>1073</v>
      </c>
      <c r="D206" s="212">
        <f t="shared" ref="D206:F206" si="24">SUM(D189:D205)</f>
        <v>0</v>
      </c>
      <c r="E206" s="256">
        <f t="shared" si="24"/>
        <v>1073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AGOSTO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2025-09-04T19:42:43Z</dcterms:modified>
  <cp:category/>
  <cp:contentStatus/>
</cp:coreProperties>
</file>