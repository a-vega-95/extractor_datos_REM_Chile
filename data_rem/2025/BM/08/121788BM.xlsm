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LAS QUILAS\AGOSTO\"/>
    </mc:Choice>
  </mc:AlternateContent>
  <xr:revisionPtr revIDLastSave="0" documentId="13_ncr:1_{EB6F1154-631E-42BD-8427-691360C0F0F8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1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<sst xmlns="http://schemas.openxmlformats.org/spreadsheetml/2006/main" count="452" uniqueCount="397">
  <si>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</si>
  <si>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</si>
  <si>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</si>
  <si>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</si>
  <si>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</si>
  <si>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</si>
  <si>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AGOSTO</t>
  </si>
  <si>
    <t>AÑO:</t>
  </si>
  <si>
    <t xml:space="preserve"> </t>
  </si>
  <si>
    <t>Versión 1.2 Marzo 2025</t>
  </si>
  <si>
    <t>Director/a Servicio de Salud o Director/a Establecimiento</t>
  </si>
  <si>
    <t>SR. JORGE VALENZUELA VASQUEZ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</si>
  <si>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</si>
  <si>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</si>
  <si>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</si>
  <si>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</si>
  <si>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</si>
  <si>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</si>
  <si>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</si>
  <si>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</si>
  <si>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</si>
  <si>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</si>
  <si>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</si>
  <si>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</si>
  <si>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</si>
  <si>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</si>
  <si>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</si>
  <si>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</si>
  <si>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</si>
  <si>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</si>
  <si>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</si>
  <si>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</si>
  <si>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</si>
  <si>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</si>
  <si>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</si>
  <si>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</si>
  <si>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</si>
  <si>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</si>
  <si>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</si>
  <si>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</si>
  <si>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</si>
  <si>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</si>
  <si>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</si>
  <si>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</si>
  <si>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</si>
  <si>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</si>
  <si>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</si>
  <si>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</si>
  <si>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</si>
  <si>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</si>
  <si>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</si>
  <si>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</si>
  <si>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</si>
  <si>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</si>
  <si>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</si>
  <si>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</si>
  <si>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</si>
  <si>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</si>
  <si>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</si>
  <si>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</si>
  <si>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</si>
  <si>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</si>
  <si>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</si>
  <si>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</si>
  <si>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</si>
  <si>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</si>
  <si>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</si>
  <si>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</si>
  <si>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</si>
  <si>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</si>
  <si>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</si>
  <si>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</si>
  <si>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</si>
  <si>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</si>
  <si>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</si>
  <si>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</si>
  <si>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</si>
  <si>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</si>
  <si>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</si>
  <si>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</si>
  <si>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</si>
  <si>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</si>
  <si>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</si>
  <si>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</si>
  <si>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</si>
  <si>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</si>
  <si>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</si>
  <si>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</si>
  <si>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</si>
  <si>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</si>
  <si>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</si>
  <si>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</si>
  <si>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</si>
  <si>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</si>
  <si>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</si>
  <si>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</si>
  <si>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</si>
  <si>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</si>
  <si>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</si>
  <si>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</si>
  <si>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</si>
  <si>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</si>
  <si>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</si>
  <si>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</si>
  <si>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</si>
  <si>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</si>
  <si>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</si>
  <si>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</si>
  <si>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</si>
  <si>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</si>
  <si>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</si>
  <si>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</si>
  <si>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</si>
  <si>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</si>
  <si>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</si>
  <si>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</si>
  <si>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</si>
  <si>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</si>
  <si>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</si>
  <si>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</si>
  <si>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</si>
  <si>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</si>
  <si>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</si>
  <si>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</si>
  <si>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</si>
  <si>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</si>
  <si>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</si>
  <si>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</si>
  <si>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</si>
  <si>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</si>
  <si>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</si>
  <si>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</si>
  <si>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</si>
  <si>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</si>
  <si>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</si>
  <si>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</si>
  <si>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</si>
  <si>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</si>
  <si>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</si>
  <si>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</si>
  <si>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</si>
  <si>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</si>
  <si>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</si>
  <si>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</si>
  <si>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</si>
  <si>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</si>
  <si>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</si>
  <si>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</si>
  <si>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</si>
  <si>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</si>
  <si>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</si>
  <si>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</si>
  <si>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</si>
  <si>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</si>
  <si>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</si>
  <si>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</si>
  <si>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</si>
  <si>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</si>
  <si>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</si>
  <si>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</si>
  <si>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</si>
  <si>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</si>
  <si>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</si>
  <si>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</si>
  <si>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</si>
  <si>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</si>
  <si>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</si>
  <si>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</si>
  <si>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</si>
  <si>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</si>
  <si>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</si>
  <si>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</si>
  <si>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</si>
  <si>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</si>
  <si>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</si>
  <si>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</si>
  <si>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</si>
  <si>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</si>
  <si>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</si>
  <si>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</si>
  <si>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</si>
  <si>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</si>
  <si>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</si>
  <si>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</si>
  <si>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</si>
  <si>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</si>
  <si>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</si>
  <si>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</si>
  <si>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</si>
  <si>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</si>
  <si>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</si>
  <si>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</si>
  <si>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</si>
  <si>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</si>
  <si>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</si>
  <si>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</si>
  <si>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</si>
  <si>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</si>
  <si>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</si>
  <si>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</si>
  <si>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</si>
  <si>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</si>
  <si>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</si>
  <si>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</si>
  <si>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</si>
  <si>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</si>
  <si>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</si>
  <si>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</si>
  <si>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</si>
  <si>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</si>
  <si>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</si>
  <si>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</si>
  <si>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</si>
  <si>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</si>
  <si>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</si>
  <si>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</si>
  <si>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</si>
  <si>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</si>
  <si>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</si>
  <si>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</si>
  <si>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</si>
  <si>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</si>
  <si>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</si>
  <si>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</si>
  <si>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</si>
  <si>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</si>
  <si>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</si>
  <si>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</si>
  <si>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</si>
  <si>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</si>
  <si>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</si>
  <si>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</si>
  <si>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</si>
  <si>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</si>
  <si>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</si>
  <si>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</si>
  <si>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</si>
  <si>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</si>
  <si>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</si>
  <si>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</si>
  <si>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</si>
  <si>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</si>
  <si>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</si>
  <si>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</si>
  <si>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</si>
  <si>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</si>
  <si>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</si>
  <si>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</si>
  <si>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</si>
  <si>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</si>
  <si>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</si>
  <si>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</si>
  <si>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</si>
  <si>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</si>
  <si>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</si>
  <si>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</si>
  <si>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</si>
  <si>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</si>
  <si>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</si>
  <si>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</si>
  <si>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</si>
  <si>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</si>
  <si>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</si>
  <si>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</si>
  <si>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</si>
  <si>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</si>
  <si>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</si>
  <si>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</si>
  <si>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</si>
  <si>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</si>
  <si>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</si>
  <si>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</si>
  <si>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</si>
  <si>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</si>
  <si>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</si>
  <si>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</si>
  <si>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</si>
  <si>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</si>
  <si>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</si>
  <si>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</si>
  <si>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</si>
  <si>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</si>
  <si>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</si>
  <si>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</si>
  <si>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</si>
  <si>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</si>
  <si>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</si>
  <si>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</si>
  <si>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</si>
  <si>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</si>
  <si>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</si>
  <si>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</si>
  <si>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</si>
  <si>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</si>
  <si>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</si>
  <si>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</si>
  <si>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</si>
  <si>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</si>
  <si>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</si>
  <si>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</si>
  <si>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</si>
  <si>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</si>
  <si>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</si>
  <si>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</si>
  <si>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</si>
  <si>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</si>
  <si>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</si>
  <si>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</si>
  <si>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</si>
  <si>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</si>
  <si>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</si>
  <si>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</si>
  <si>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</si>
  <si>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</si>
  <si>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</si>
  <si>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</si>
  <si>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</si>
  <si>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</si>
  <si>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</si>
  <si>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</si>
  <si>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</si>
  <si>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</si>
  <si>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</si>
  <si>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</si>
  <si>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</si>
  <si>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</si>
  <si>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</si>
  <si>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</si>
  <si>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</si>
  <si>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</si>
  <si>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</si>
  <si>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</si>
  <si>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</si>
  <si>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</si>
  <si>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</si>
  <si>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</si>
  <si>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</si>
  <si>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</si>
  <si>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</si>
  <si>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</si>
  <si>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</si>
  <si>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</si>
  <si>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</si>
  <si>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</si>
  <si>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</si>
  <si>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</si>
  <si>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</si>
  <si>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</si>
  <si>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</si>
  <si>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</si>
  <si>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</si>
  <si>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</si>
  <si>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</si>
  <si>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</si>
  <si>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</si>
  <si>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</si>
  <si>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</si>
  <si>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</si>
  <si>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</si>
  <si>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</si>
  <si>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</si>
  <si>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</si>
  <si>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</si>
  <si>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</si>
  <si>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</si>
  <si>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</si>
  <si>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</si>
  <si>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</si>
  <si>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</si>
  <si>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</si>
  <si>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</si>
  <si>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</si>
  <si>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</si>
  <si>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</si>
  <si>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</si>
  <si>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</si>
  <si>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</si>
  <si>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</si>
  <si>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</si>
  <si>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</si>
  <si>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</si>
  <si>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</si>
  <si>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</si>
  <si>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</si>
  <si>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</si>
  <si>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</si>
  <si>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</si>
  <si>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</si>
  <si>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</si>
  <si>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</si>
  <si>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</si>
  <si>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</si>
  <si>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</si>
  <si>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</si>
  <si>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</si>
  <si>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</si>
  <si>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CENTRO COMUNITARIO DE SALUD FAMILIAR  LAS QUILAS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</si>
</sst>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I12" sqref="I12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396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8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6</v>
      </c>
      <c r="C6" s="171">
        <v>0</v>
      </c>
      <c r="D6" s="172">
        <v>8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6</v>
      </c>
      <c r="AB18" s="35" t="s">
        <v>33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zoomScaleNormal="100" workbookViewId="0">
      <selection activeCell="K65" sqref="K65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 LAS QUILAS  ( 121788 )</v>
      </c>
    </row>
    <row r="4" spans="1:6" x14ac:dyDescent="0.2">
      <c r="A4" s="50" t="str">
        <f>CONCATENATE("MES: ",NOMBRE!B6,"  ","( ",NOMBRE!C6,NOMBRE!D6," )")</f>
        <v>MES: AGOSTO  ( 08 )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63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64</v>
      </c>
      <c r="B10" s="300"/>
      <c r="C10" s="300"/>
    </row>
    <row r="11" spans="1:6" ht="12.75" customHeight="1" x14ac:dyDescent="0.2">
      <c r="A11" s="303" t="s">
        <v>65</v>
      </c>
      <c r="B11" s="304"/>
      <c r="C11" s="305"/>
      <c r="D11" s="293" t="s">
        <v>66</v>
      </c>
      <c r="E11" s="293" t="s">
        <v>67</v>
      </c>
      <c r="F11" s="296" t="s">
        <v>68</v>
      </c>
    </row>
    <row r="12" spans="1:6" ht="21.75" customHeight="1" x14ac:dyDescent="0.2">
      <c r="A12" s="306"/>
      <c r="B12" s="307"/>
      <c r="C12" s="308"/>
      <c r="D12" s="295"/>
      <c r="E12" s="295" t="s">
        <v>69</v>
      </c>
      <c r="F12" s="297" t="s">
        <v>69</v>
      </c>
    </row>
    <row r="13" spans="1:6" ht="20.25" customHeight="1" x14ac:dyDescent="0.2">
      <c r="A13" s="43" t="s">
        <v>70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71</v>
      </c>
      <c r="B14" s="311" t="s">
        <v>72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301" t="s">
        <v>74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75</v>
      </c>
      <c r="B16" s="301" t="s">
        <v>76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77</v>
      </c>
      <c r="B17" s="301" t="s">
        <v>78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79</v>
      </c>
      <c r="B18" s="301" t="s">
        <v>80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81</v>
      </c>
      <c r="B19" s="313" t="s">
        <v>82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83</v>
      </c>
      <c r="B20" s="317" t="s">
        <v>84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85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86</v>
      </c>
      <c r="B22" s="319" t="s">
        <v>87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88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293"/>
      <c r="B24" s="323" t="s">
        <v>89</v>
      </c>
      <c r="C24" s="180" t="s">
        <v>90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91</v>
      </c>
      <c r="D25" s="80">
        <f>SUM(F25)</f>
        <v>0</v>
      </c>
      <c r="E25" s="100"/>
      <c r="F25" s="93"/>
    </row>
    <row r="26" spans="1:6" ht="17.25" customHeight="1" x14ac:dyDescent="0.2">
      <c r="A26" s="294"/>
      <c r="B26" s="309" t="s">
        <v>92</v>
      </c>
      <c r="C26" s="133" t="s">
        <v>90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91</v>
      </c>
      <c r="D27" s="80">
        <f t="shared" si="3"/>
        <v>0</v>
      </c>
      <c r="E27" s="92"/>
      <c r="F27" s="93"/>
    </row>
    <row r="28" spans="1:6" ht="17.25" customHeight="1" x14ac:dyDescent="0.2">
      <c r="A28" s="294"/>
      <c r="B28" s="309" t="s">
        <v>93</v>
      </c>
      <c r="C28" s="133" t="s">
        <v>90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91</v>
      </c>
      <c r="D29" s="80">
        <f t="shared" si="3"/>
        <v>0</v>
      </c>
      <c r="E29" s="92"/>
      <c r="F29" s="93"/>
    </row>
    <row r="30" spans="1:6" ht="17.25" customHeight="1" x14ac:dyDescent="0.2">
      <c r="A30" s="294"/>
      <c r="B30" s="309" t="s">
        <v>94</v>
      </c>
      <c r="C30" s="133" t="s">
        <v>90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91</v>
      </c>
      <c r="D31" s="80">
        <f t="shared" si="3"/>
        <v>0</v>
      </c>
      <c r="E31" s="92"/>
      <c r="F31" s="93"/>
    </row>
    <row r="32" spans="1:6" ht="17.25" customHeight="1" x14ac:dyDescent="0.2">
      <c r="A32" s="294"/>
      <c r="B32" s="315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91</v>
      </c>
      <c r="D33" s="80">
        <f>SUM(D25+D27+D29+D31)</f>
        <v>0</v>
      </c>
      <c r="E33" s="92"/>
      <c r="F33" s="92"/>
    </row>
    <row r="34" spans="1:6" ht="17.25" customHeight="1" x14ac:dyDescent="0.2">
      <c r="A34" s="294"/>
      <c r="B34" s="309" t="s">
        <v>96</v>
      </c>
      <c r="C34" s="133" t="s">
        <v>90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91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97</v>
      </c>
      <c r="C36" s="133" t="s">
        <v>90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91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96" t="s">
        <v>99</v>
      </c>
      <c r="B40" s="296" t="s">
        <v>66</v>
      </c>
      <c r="C40" s="293" t="s">
        <v>67</v>
      </c>
      <c r="D40" s="296" t="s">
        <v>68</v>
      </c>
    </row>
    <row r="41" spans="1:6" ht="25.5" customHeight="1" x14ac:dyDescent="0.2">
      <c r="A41" s="297"/>
      <c r="B41" s="324"/>
      <c r="C41" s="295" t="s">
        <v>69</v>
      </c>
      <c r="D41" s="297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101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103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104</v>
      </c>
      <c r="B46" s="79">
        <f t="shared" si="4"/>
        <v>61</v>
      </c>
      <c r="C46" s="83">
        <f>BM18A!D148</f>
        <v>0</v>
      </c>
      <c r="D46" s="83">
        <f>BM18A!E148</f>
        <v>61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106</v>
      </c>
      <c r="B48" s="79">
        <f t="shared" si="4"/>
        <v>1</v>
      </c>
      <c r="C48" s="83">
        <f>BM18A!D169</f>
        <v>0</v>
      </c>
      <c r="D48" s="83">
        <f>BM18A!E169</f>
        <v>1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108</v>
      </c>
      <c r="B50" s="90">
        <f t="shared" si="4"/>
        <v>1</v>
      </c>
      <c r="C50" s="79">
        <f>BM18A!D177</f>
        <v>0</v>
      </c>
      <c r="D50" s="79">
        <f>BM18A!E177</f>
        <v>1</v>
      </c>
    </row>
    <row r="51" spans="1:4" ht="16.5" customHeight="1" x14ac:dyDescent="0.2">
      <c r="A51" s="223" t="s">
        <v>109</v>
      </c>
      <c r="B51" s="90">
        <f t="shared" si="4"/>
        <v>476</v>
      </c>
      <c r="C51" s="81">
        <f>BM18A!D206</f>
        <v>0</v>
      </c>
      <c r="D51" s="81">
        <f>BM18A!E206</f>
        <v>476</v>
      </c>
    </row>
    <row r="52" spans="1:4" ht="17.25" customHeight="1" x14ac:dyDescent="0.2">
      <c r="A52" s="91" t="s">
        <v>66</v>
      </c>
      <c r="B52" s="77">
        <f>SUM(B42:B51)</f>
        <v>539</v>
      </c>
      <c r="C52" s="77">
        <f>SUM(C42:C51)</f>
        <v>0</v>
      </c>
      <c r="D52" s="77">
        <f>SUM(D42:D51)</f>
        <v>539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32" t="s">
        <v>111</v>
      </c>
      <c r="B55" s="330" t="s">
        <v>66</v>
      </c>
    </row>
    <row r="56" spans="1:4" x14ac:dyDescent="0.2">
      <c r="A56" s="333"/>
      <c r="B56" s="331"/>
    </row>
    <row r="57" spans="1:4" ht="17.25" customHeight="1" x14ac:dyDescent="0.2">
      <c r="A57" s="116" t="s">
        <v>112</v>
      </c>
      <c r="B57" s="207"/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328" t="s">
        <v>114</v>
      </c>
      <c r="B59" s="329"/>
      <c r="C59" s="103" t="s">
        <v>115</v>
      </c>
      <c r="D59" s="104" t="s">
        <v>116</v>
      </c>
    </row>
    <row r="60" spans="1:4" ht="16.5" customHeight="1" x14ac:dyDescent="0.2">
      <c r="A60" s="325" t="s">
        <v>117</v>
      </c>
      <c r="B60" s="208" t="s">
        <v>118</v>
      </c>
      <c r="C60" s="87">
        <v>240</v>
      </c>
      <c r="D60" s="84"/>
    </row>
    <row r="61" spans="1:4" ht="16.5" customHeight="1" x14ac:dyDescent="0.2">
      <c r="A61" s="326"/>
      <c r="B61" s="12" t="s">
        <v>119</v>
      </c>
      <c r="C61" s="88"/>
      <c r="D61" s="85"/>
    </row>
    <row r="62" spans="1:4" ht="16.5" customHeight="1" x14ac:dyDescent="0.2">
      <c r="A62" s="327"/>
      <c r="B62" s="13" t="s">
        <v>120</v>
      </c>
      <c r="C62" s="89"/>
      <c r="D62" s="86"/>
    </row>
    <row r="96" spans="1:1" hidden="1" x14ac:dyDescent="0.2">
      <c r="A96" s="215">
        <f>SUM(D13:D37,B42:B52,B57,C60:C62)</f>
        <v>1318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95" zoomScaleNormal="100" workbookViewId="0">
      <selection activeCell="I137" sqref="I137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 LAS QUILAS  ( 121788 )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AGOSTO  ( 08 )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121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68" t="s">
        <v>1</v>
      </c>
      <c r="B10" s="351" t="s">
        <v>65</v>
      </c>
      <c r="C10" s="341" t="s">
        <v>66</v>
      </c>
      <c r="D10" s="351" t="s">
        <v>67</v>
      </c>
      <c r="E10" s="357" t="s">
        <v>68</v>
      </c>
      <c r="F10" s="351" t="s">
        <v>122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123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66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138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139</v>
      </c>
      <c r="B23" s="121" t="s">
        <v>140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149</v>
      </c>
      <c r="B28" s="121" t="s">
        <v>150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151</v>
      </c>
      <c r="B29" s="121" t="s">
        <v>152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153</v>
      </c>
      <c r="B30" s="121" t="s">
        <v>154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155</v>
      </c>
      <c r="B31" s="121" t="s">
        <v>156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157</v>
      </c>
      <c r="B32" s="121" t="s">
        <v>158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161</v>
      </c>
      <c r="B34" s="121" t="s">
        <v>162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163</v>
      </c>
      <c r="B35" s="121" t="s">
        <v>164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165</v>
      </c>
      <c r="B36" s="121" t="s">
        <v>166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167</v>
      </c>
      <c r="B37" s="121" t="s">
        <v>168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169</v>
      </c>
      <c r="B38" s="121" t="s">
        <v>170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171</v>
      </c>
      <c r="B39" s="121" t="s">
        <v>172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173</v>
      </c>
      <c r="B40" s="121" t="s">
        <v>174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175</v>
      </c>
      <c r="B41" s="121" t="s">
        <v>176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177</v>
      </c>
      <c r="B42" s="121" t="s">
        <v>178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66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179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180</v>
      </c>
      <c r="B46" s="198" t="s">
        <v>181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182</v>
      </c>
      <c r="B47" s="121" t="s">
        <v>183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184</v>
      </c>
      <c r="B48" s="121" t="s">
        <v>185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66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78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186</v>
      </c>
      <c r="B52" s="198" t="s">
        <v>187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188</v>
      </c>
      <c r="B53" s="121" t="s">
        <v>189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66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80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190</v>
      </c>
      <c r="B57" s="121" t="s">
        <v>191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192</v>
      </c>
      <c r="B58" s="121" t="s">
        <v>193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196</v>
      </c>
      <c r="B60" s="121" t="s">
        <v>197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200</v>
      </c>
      <c r="B62" s="121" t="s">
        <v>201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202</v>
      </c>
      <c r="B63" s="121" t="s">
        <v>203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204</v>
      </c>
      <c r="B64" s="121" t="s">
        <v>205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206</v>
      </c>
      <c r="B65" s="121" t="s">
        <v>207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208</v>
      </c>
      <c r="B66" s="121" t="s">
        <v>209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210</v>
      </c>
      <c r="B67" s="121" t="s">
        <v>211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212</v>
      </c>
      <c r="B68" s="121" t="s">
        <v>213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214</v>
      </c>
      <c r="B69" s="121" t="s">
        <v>215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216</v>
      </c>
      <c r="B70" s="121" t="s">
        <v>217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218</v>
      </c>
      <c r="B71" s="129" t="s">
        <v>219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220</v>
      </c>
      <c r="B72" s="129" t="s">
        <v>221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66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222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223</v>
      </c>
      <c r="B76" s="121" t="s">
        <v>224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225</v>
      </c>
      <c r="B77" s="121" t="s">
        <v>226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66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227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228</v>
      </c>
      <c r="B81" s="121" t="s">
        <v>229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230</v>
      </c>
      <c r="B82" s="121" t="s">
        <v>231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232</v>
      </c>
      <c r="B83" s="121" t="s">
        <v>233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234</v>
      </c>
      <c r="B84" s="121" t="s">
        <v>235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236</v>
      </c>
      <c r="B85" s="121" t="s">
        <v>237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238</v>
      </c>
      <c r="B86" s="121" t="s">
        <v>239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240</v>
      </c>
      <c r="B87" s="121" t="s">
        <v>241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66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242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243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244</v>
      </c>
      <c r="B92" s="128" t="s">
        <v>245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264</v>
      </c>
      <c r="B102" s="121" t="s">
        <v>265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274</v>
      </c>
      <c r="B107" s="121" t="s">
        <v>275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276</v>
      </c>
      <c r="B108" s="121" t="s">
        <v>277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278</v>
      </c>
      <c r="B109" s="121" t="s">
        <v>279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280</v>
      </c>
      <c r="B110" s="121" t="s">
        <v>281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282</v>
      </c>
      <c r="B111" s="121" t="s">
        <v>283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284</v>
      </c>
      <c r="B112" s="121" t="s">
        <v>285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286</v>
      </c>
      <c r="B113" s="121" t="s">
        <v>287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288</v>
      </c>
      <c r="B114" s="121" t="s">
        <v>289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 x14ac:dyDescent="0.2">
      <c r="A115" s="57" t="s">
        <v>290</v>
      </c>
      <c r="B115" s="121" t="s">
        <v>291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292</v>
      </c>
      <c r="B116" s="121" t="s">
        <v>293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294</v>
      </c>
      <c r="B117" s="121" t="s">
        <v>295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296</v>
      </c>
      <c r="B118" s="185" t="s">
        <v>297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298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99</v>
      </c>
      <c r="C121" s="351" t="s">
        <v>69</v>
      </c>
      <c r="D121" s="351" t="s">
        <v>67</v>
      </c>
      <c r="E121" s="357" t="s">
        <v>68</v>
      </c>
      <c r="F121" s="341" t="s">
        <v>122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299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300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301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302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303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66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304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305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306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307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308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309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310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311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312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313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66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314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315</v>
      </c>
      <c r="B143" s="128" t="s">
        <v>316</v>
      </c>
      <c r="C143" s="70">
        <f>SUM(D143:E143)</f>
        <v>49</v>
      </c>
      <c r="D143" s="194"/>
      <c r="E143" s="247">
        <v>49</v>
      </c>
      <c r="F143" s="257"/>
    </row>
    <row r="144" spans="1:6" ht="15" customHeight="1" x14ac:dyDescent="0.2">
      <c r="A144" s="60" t="s">
        <v>317</v>
      </c>
      <c r="B144" s="121" t="s">
        <v>318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319</v>
      </c>
      <c r="C145" s="73">
        <f>SUM(D145:E145)</f>
        <v>12</v>
      </c>
      <c r="D145" s="196"/>
      <c r="E145" s="261">
        <v>12</v>
      </c>
      <c r="F145" s="246"/>
    </row>
    <row r="146" spans="1:6" ht="15" customHeight="1" x14ac:dyDescent="0.2">
      <c r="A146" s="60"/>
      <c r="B146" s="121" t="s">
        <v>320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321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66</v>
      </c>
      <c r="B148" s="346"/>
      <c r="C148" s="159">
        <f>SUM(C143:C147)</f>
        <v>61</v>
      </c>
      <c r="D148" s="159">
        <f t="shared" ref="D148" si="16">SUM(D143:D147)</f>
        <v>0</v>
      </c>
      <c r="E148" s="263">
        <f>SUM(E143:E147)</f>
        <v>61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322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323</v>
      </c>
      <c r="C151" s="74">
        <f>SUM(D151:E151)</f>
        <v>0</v>
      </c>
      <c r="D151" s="237"/>
      <c r="E151" s="113"/>
      <c r="F151" s="257"/>
    </row>
    <row r="152" spans="1:6" ht="15" customHeight="1" x14ac:dyDescent="0.2">
      <c r="A152" s="60">
        <v>1707002</v>
      </c>
      <c r="B152" s="121" t="s">
        <v>324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325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326</v>
      </c>
      <c r="C154" s="131">
        <f t="shared" si="17"/>
        <v>0</v>
      </c>
      <c r="D154" s="214"/>
      <c r="E154" s="115"/>
      <c r="F154" s="250"/>
    </row>
    <row r="155" spans="1:6" ht="15" customHeight="1" x14ac:dyDescent="0.2">
      <c r="A155" s="62" t="s">
        <v>327</v>
      </c>
      <c r="B155" s="121" t="s">
        <v>328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329</v>
      </c>
      <c r="B156" s="121" t="s">
        <v>330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331</v>
      </c>
      <c r="B157" s="121" t="s">
        <v>332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45" t="s">
        <v>66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333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334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335</v>
      </c>
      <c r="B162" s="121" t="s">
        <v>336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337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66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338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339</v>
      </c>
      <c r="C167" s="241">
        <f>SUM(D167:E167)</f>
        <v>1</v>
      </c>
      <c r="D167" s="240"/>
      <c r="E167" s="266">
        <v>1</v>
      </c>
      <c r="F167" s="264"/>
    </row>
    <row r="168" spans="1:6" ht="15" customHeight="1" x14ac:dyDescent="0.2">
      <c r="A168" s="61">
        <v>1901022</v>
      </c>
      <c r="B168" s="129" t="s">
        <v>340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66</v>
      </c>
      <c r="B169" s="346"/>
      <c r="C169" s="155">
        <f>SUM(C167:C168)</f>
        <v>1</v>
      </c>
      <c r="D169" s="228">
        <f>SUM(D167:D168)</f>
        <v>0</v>
      </c>
      <c r="E169" s="268">
        <f>SUM(E167:E168)</f>
        <v>1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341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342</v>
      </c>
      <c r="C172" s="204">
        <f>SUM(D172:E172)</f>
        <v>1</v>
      </c>
      <c r="D172" s="242">
        <v>0</v>
      </c>
      <c r="E172" s="113">
        <v>1</v>
      </c>
      <c r="F172" s="264"/>
    </row>
    <row r="173" spans="1:6" ht="15" customHeight="1" x14ac:dyDescent="0.2">
      <c r="A173" s="60"/>
      <c r="B173" s="121" t="s">
        <v>343</v>
      </c>
      <c r="C173" s="188">
        <f>SUM(D173:E173)</f>
        <v>0</v>
      </c>
      <c r="D173" s="65"/>
      <c r="E173" s="114"/>
      <c r="F173" s="246"/>
    </row>
    <row r="174" spans="1:6" ht="15" customHeight="1" x14ac:dyDescent="0.2">
      <c r="A174" s="60">
        <v>2001015</v>
      </c>
      <c r="B174" s="198" t="s">
        <v>344</v>
      </c>
      <c r="C174" s="75">
        <f>SUM(D174:E174)</f>
        <v>0</v>
      </c>
      <c r="D174" s="65"/>
      <c r="E174" s="114"/>
      <c r="F174" s="246"/>
    </row>
    <row r="175" spans="1:6" ht="15" customHeight="1" x14ac:dyDescent="0.2">
      <c r="A175" s="60"/>
      <c r="B175" s="121" t="s">
        <v>345</v>
      </c>
      <c r="C175" s="75">
        <f t="shared" ref="C175:C176" si="19">SUM(D175:E175)</f>
        <v>0</v>
      </c>
      <c r="D175" s="65"/>
      <c r="E175" s="114"/>
      <c r="F175" s="246"/>
    </row>
    <row r="176" spans="1:6" ht="15" customHeight="1" x14ac:dyDescent="0.2">
      <c r="A176" s="200"/>
      <c r="B176" s="198" t="s">
        <v>346</v>
      </c>
      <c r="C176" s="75">
        <f t="shared" si="19"/>
        <v>0</v>
      </c>
      <c r="D176" s="201"/>
      <c r="E176" s="270"/>
      <c r="F176" s="246"/>
    </row>
    <row r="177" spans="1:6" ht="15" customHeight="1" x14ac:dyDescent="0.2">
      <c r="A177" s="345" t="s">
        <v>66</v>
      </c>
      <c r="B177" s="346"/>
      <c r="C177" s="155">
        <f>SUM(C172:C176)</f>
        <v>1</v>
      </c>
      <c r="D177" s="155">
        <f t="shared" ref="D177:E177" si="20">SUM(D172:D176)</f>
        <v>0</v>
      </c>
      <c r="E177" s="271">
        <f t="shared" si="20"/>
        <v>1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347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348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349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350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351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352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353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66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109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354</v>
      </c>
      <c r="C189" s="188">
        <f t="shared" ref="C189:C194" si="22">SUM(D189:E189)</f>
        <v>24</v>
      </c>
      <c r="D189" s="225">
        <v>0</v>
      </c>
      <c r="E189" s="266">
        <v>24</v>
      </c>
      <c r="F189" s="272"/>
    </row>
    <row r="190" spans="1:6" ht="15" customHeight="1" x14ac:dyDescent="0.2">
      <c r="A190" s="202"/>
      <c r="B190" s="121" t="s">
        <v>355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356</v>
      </c>
      <c r="B191" s="121" t="s">
        <v>357</v>
      </c>
      <c r="C191" s="188">
        <f t="shared" si="22"/>
        <v>72</v>
      </c>
      <c r="D191" s="210"/>
      <c r="E191" s="255">
        <v>72</v>
      </c>
      <c r="F191" s="246"/>
    </row>
    <row r="192" spans="1:6" ht="15" customHeight="1" x14ac:dyDescent="0.2">
      <c r="A192" s="62"/>
      <c r="B192" s="129" t="s">
        <v>358</v>
      </c>
      <c r="C192" s="188">
        <f t="shared" si="22"/>
        <v>0</v>
      </c>
      <c r="D192" s="210"/>
      <c r="E192" s="255"/>
      <c r="F192" s="246"/>
    </row>
    <row r="193" spans="1:6" ht="15" customHeight="1" x14ac:dyDescent="0.2">
      <c r="A193" s="62"/>
      <c r="B193" s="129" t="s">
        <v>359</v>
      </c>
      <c r="C193" s="188">
        <f t="shared" si="22"/>
        <v>10</v>
      </c>
      <c r="D193" s="210">
        <v>0</v>
      </c>
      <c r="E193" s="255">
        <v>10</v>
      </c>
      <c r="F193" s="246"/>
    </row>
    <row r="194" spans="1:6" ht="15" customHeight="1" x14ac:dyDescent="0.2">
      <c r="A194" s="203"/>
      <c r="B194" s="129" t="s">
        <v>360</v>
      </c>
      <c r="C194" s="199">
        <f t="shared" si="22"/>
        <v>5</v>
      </c>
      <c r="D194" s="226"/>
      <c r="E194" s="277">
        <v>5</v>
      </c>
      <c r="F194" s="246"/>
    </row>
    <row r="195" spans="1:6" ht="15" customHeight="1" x14ac:dyDescent="0.2">
      <c r="A195" s="62"/>
      <c r="B195" s="129" t="s">
        <v>361</v>
      </c>
      <c r="C195" s="188">
        <f t="shared" ref="C195:C205" si="23">SUM(D195:E195)</f>
        <v>43</v>
      </c>
      <c r="D195" s="210">
        <v>0</v>
      </c>
      <c r="E195" s="255">
        <v>43</v>
      </c>
      <c r="F195" s="246"/>
    </row>
    <row r="196" spans="1:6" ht="15" customHeight="1" x14ac:dyDescent="0.2">
      <c r="A196" s="236" t="s">
        <v>362</v>
      </c>
      <c r="B196" s="121" t="s">
        <v>363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364</v>
      </c>
      <c r="B197" s="121" t="s">
        <v>365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366</v>
      </c>
      <c r="B198" s="121" t="s">
        <v>367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368</v>
      </c>
      <c r="B199" s="121" t="s">
        <v>369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370</v>
      </c>
      <c r="B200" s="121" t="s">
        <v>371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372</v>
      </c>
      <c r="B201" s="121" t="s">
        <v>373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374</v>
      </c>
      <c r="B202" s="121" t="s">
        <v>375</v>
      </c>
      <c r="C202" s="188">
        <f t="shared" si="23"/>
        <v>129</v>
      </c>
      <c r="D202" s="210"/>
      <c r="E202" s="255">
        <v>129</v>
      </c>
      <c r="F202" s="246"/>
    </row>
    <row r="203" spans="1:6" ht="15" customHeight="1" x14ac:dyDescent="0.2">
      <c r="A203" s="62" t="s">
        <v>376</v>
      </c>
      <c r="B203" s="121" t="s">
        <v>377</v>
      </c>
      <c r="C203" s="188">
        <f t="shared" si="23"/>
        <v>0</v>
      </c>
      <c r="D203" s="210"/>
      <c r="E203" s="255"/>
      <c r="F203" s="246"/>
    </row>
    <row r="204" spans="1:6" ht="15" customHeight="1" x14ac:dyDescent="0.2">
      <c r="A204" s="62" t="s">
        <v>378</v>
      </c>
      <c r="B204" s="121" t="s">
        <v>379</v>
      </c>
      <c r="C204" s="188">
        <f t="shared" si="23"/>
        <v>182</v>
      </c>
      <c r="D204" s="210"/>
      <c r="E204" s="255">
        <v>182</v>
      </c>
      <c r="F204" s="250"/>
    </row>
    <row r="205" spans="1:6" ht="15" customHeight="1" x14ac:dyDescent="0.2">
      <c r="A205" s="62" t="s">
        <v>380</v>
      </c>
      <c r="B205" s="185" t="s">
        <v>381</v>
      </c>
      <c r="C205" s="188">
        <f t="shared" si="23"/>
        <v>11</v>
      </c>
      <c r="D205" s="211"/>
      <c r="E205" s="255">
        <v>11</v>
      </c>
      <c r="F205" s="258"/>
    </row>
    <row r="206" spans="1:6" ht="15" customHeight="1" x14ac:dyDescent="0.2">
      <c r="A206" s="345" t="s">
        <v>66</v>
      </c>
      <c r="B206" s="346"/>
      <c r="C206" s="72">
        <f>SUM(C189:C205)</f>
        <v>476</v>
      </c>
      <c r="D206" s="212">
        <f t="shared" ref="D206:F206" si="24">SUM(D189:D205)</f>
        <v>0</v>
      </c>
      <c r="E206" s="256">
        <f t="shared" si="24"/>
        <v>476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382</v>
      </c>
      <c r="C2" s="16" t="s">
        <v>383</v>
      </c>
      <c r="D2" s="17" t="s">
        <v>384</v>
      </c>
    </row>
    <row r="3" spans="2:4" ht="19.5" customHeight="1" x14ac:dyDescent="0.2">
      <c r="B3" s="25" t="s">
        <v>385</v>
      </c>
      <c r="C3" s="24" t="s">
        <v>386</v>
      </c>
      <c r="D3" s="19">
        <f>+NOMBRE!AG2</f>
        <v>0</v>
      </c>
    </row>
    <row r="4" spans="2:4" ht="19.5" customHeight="1" x14ac:dyDescent="0.2">
      <c r="B4" s="25" t="s">
        <v>385</v>
      </c>
      <c r="C4" s="24" t="s">
        <v>387</v>
      </c>
      <c r="D4" s="19">
        <f>+NOMBRE!AG3</f>
        <v>0</v>
      </c>
    </row>
    <row r="5" spans="2:4" ht="19.5" customHeight="1" x14ac:dyDescent="0.2">
      <c r="B5" s="25" t="s">
        <v>385</v>
      </c>
      <c r="C5" s="24" t="s">
        <v>388</v>
      </c>
      <c r="D5" s="19">
        <f>+NOMBRE!AG6</f>
        <v>0</v>
      </c>
    </row>
    <row r="6" spans="2:4" ht="31.5" customHeight="1" thickBot="1" x14ac:dyDescent="0.25">
      <c r="B6" s="51" t="s">
        <v>389</v>
      </c>
      <c r="C6" s="209" t="s">
        <v>390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391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392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393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 LAS QUILAS - 121788 
   / MES:  AGOSTO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394</v>
      </c>
      <c r="E5" s="147"/>
      <c r="F5" s="148"/>
      <c r="G5" s="148"/>
      <c r="H5" s="149"/>
    </row>
    <row r="6" spans="1:14" ht="27.75" customHeight="1" x14ac:dyDescent="0.2">
      <c r="B6" s="154" t="s">
        <v>395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2025-09-04T14:56:09Z</dcterms:modified>
  <cp:category/>
  <cp:contentStatus/>
</cp:coreProperties>
</file>