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AGOSTO\"/>
    </mc:Choice>
  </mc:AlternateContent>
  <xr:revisionPtr revIDLastSave="0" documentId="13_ncr:1_{7F7C8E37-49C9-4BE4-A519-75C5984643E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<sst xmlns="http://schemas.openxmlformats.org/spreadsheetml/2006/main" count="452" uniqueCount="397">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</sst>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6" sqref="E1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Normal="100" workbookViewId="0">
      <selection activeCell="H34" sqref="H3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6</v>
      </c>
      <c r="E21" s="77">
        <f>SUM(E22+E23)</f>
        <v>0</v>
      </c>
      <c r="F21" s="77">
        <f>SUM(F22+F23)</f>
        <v>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6</v>
      </c>
      <c r="E23" s="78">
        <f>SUM(BM18A!D114:D118)</f>
        <v>0</v>
      </c>
      <c r="F23" s="80">
        <f>SUM(BM18A!E114:E118)</f>
        <v>6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17</v>
      </c>
      <c r="C43" s="83">
        <f>BM18A!D158</f>
        <v>0</v>
      </c>
      <c r="D43" s="83">
        <f>BM18A!E158</f>
        <v>17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427</v>
      </c>
      <c r="C46" s="83">
        <f>BM18A!D148</f>
        <v>0</v>
      </c>
      <c r="D46" s="83">
        <f>BM18A!E148</f>
        <v>427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12</v>
      </c>
      <c r="C48" s="83">
        <f>BM18A!D169</f>
        <v>0</v>
      </c>
      <c r="D48" s="83">
        <f>BM18A!E169</f>
        <v>12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149</v>
      </c>
      <c r="C50" s="79">
        <f>BM18A!D177</f>
        <v>0</v>
      </c>
      <c r="D50" s="79">
        <f>BM18A!E177</f>
        <v>149</v>
      </c>
    </row>
    <row r="51" spans="1:4" ht="16.5" customHeight="1" x14ac:dyDescent="0.2">
      <c r="A51" s="223" t="s">
        <v>110</v>
      </c>
      <c r="B51" s="90">
        <f t="shared" si="4"/>
        <v>2751</v>
      </c>
      <c r="C51" s="81">
        <f>BM18A!D206</f>
        <v>0</v>
      </c>
      <c r="D51" s="81">
        <f>BM18A!E206</f>
        <v>2751</v>
      </c>
    </row>
    <row r="52" spans="1:4" ht="17.25" customHeight="1" x14ac:dyDescent="0.2">
      <c r="A52" s="91" t="s">
        <v>67</v>
      </c>
      <c r="B52" s="77">
        <f>SUM(B42:B51)</f>
        <v>3357</v>
      </c>
      <c r="C52" s="77">
        <f>SUM(C42:C51)</f>
        <v>0</v>
      </c>
      <c r="D52" s="77">
        <f>SUM(D42:D51)</f>
        <v>3357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21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6759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zoomScaleNormal="100" workbookViewId="0">
      <selection activeCell="I58" sqref="I5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6</v>
      </c>
      <c r="D114" s="65"/>
      <c r="E114" s="114">
        <v>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400</v>
      </c>
      <c r="D143" s="194"/>
      <c r="E143" s="247">
        <v>400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24</v>
      </c>
      <c r="D144" s="195"/>
      <c r="E144" s="260">
        <v>24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3</v>
      </c>
      <c r="D145" s="196"/>
      <c r="E145" s="261">
        <v>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427</v>
      </c>
      <c r="D148" s="159">
        <f t="shared" ref="D148" si="16">SUM(D143:D147)</f>
        <v>0</v>
      </c>
      <c r="E148" s="263">
        <f>SUM(E143:E147)</f>
        <v>427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</v>
      </c>
      <c r="D151" s="237"/>
      <c r="E151" s="113">
        <v>2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15</v>
      </c>
      <c r="D152" s="213"/>
      <c r="E152" s="114">
        <v>15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17</v>
      </c>
      <c r="D158" s="212">
        <f t="shared" ref="D158:F158" si="18">SUM(D151:D157)</f>
        <v>0</v>
      </c>
      <c r="E158" s="256">
        <f t="shared" si="18"/>
        <v>17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/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12</v>
      </c>
      <c r="D167" s="240"/>
      <c r="E167" s="266">
        <v>12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12</v>
      </c>
      <c r="D169" s="228">
        <f>SUM(D167:D168)</f>
        <v>0</v>
      </c>
      <c r="E169" s="268">
        <f>SUM(E167:E168)</f>
        <v>12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4</v>
      </c>
      <c r="D172" s="242"/>
      <c r="E172" s="113">
        <v>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 x14ac:dyDescent="0.2">
      <c r="A176" s="200"/>
      <c r="B176" s="198" t="s">
        <v>347</v>
      </c>
      <c r="C176" s="75">
        <f t="shared" si="19"/>
        <v>135</v>
      </c>
      <c r="D176" s="201"/>
      <c r="E176" s="270">
        <v>135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149</v>
      </c>
      <c r="D177" s="155">
        <f t="shared" ref="D177:E177" si="20">SUM(D172:D176)</f>
        <v>0</v>
      </c>
      <c r="E177" s="271">
        <f t="shared" si="20"/>
        <v>149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62</v>
      </c>
      <c r="D189" s="225"/>
      <c r="E189" s="266">
        <v>62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396</v>
      </c>
      <c r="D191" s="210"/>
      <c r="E191" s="255">
        <v>396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279</v>
      </c>
      <c r="D192" s="210"/>
      <c r="E192" s="255">
        <v>279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125</v>
      </c>
      <c r="D193" s="210"/>
      <c r="E193" s="255">
        <v>125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133</v>
      </c>
      <c r="D194" s="226"/>
      <c r="E194" s="277">
        <v>133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186</v>
      </c>
      <c r="D195" s="210"/>
      <c r="E195" s="255">
        <v>186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679</v>
      </c>
      <c r="D202" s="210"/>
      <c r="E202" s="255">
        <v>679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24</v>
      </c>
      <c r="D203" s="210"/>
      <c r="E203" s="255">
        <v>24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844</v>
      </c>
      <c r="D204" s="210"/>
      <c r="E204" s="255">
        <v>844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23</v>
      </c>
      <c r="D205" s="211"/>
      <c r="E205" s="255">
        <v>23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2751</v>
      </c>
      <c r="D206" s="212">
        <f t="shared" ref="D206:F206" si="24">SUM(D189:D205)</f>
        <v>0</v>
      </c>
      <c r="E206" s="256">
        <f t="shared" si="24"/>
        <v>2751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2025-09-04T17:35:27Z</dcterms:modified>
  <cp:category/>
  <cp:contentStatus/>
</cp:coreProperties>
</file>