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782 CECOF ARQUENCO\DICIEMBRE\"/>
    </mc:Choice>
  </mc:AlternateContent>
  <xr:revisionPtr revIDLastSave="0" documentId="13_ncr:1_{0B48334E-1BD5-4FF7-8E2E-55DEABDC5725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<sst xmlns="http://schemas.openxmlformats.org/spreadsheetml/2006/main" count="452" uniqueCount="397">
  <si>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</si>
  <si>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</si>
  <si>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</si>
  <si>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</si>
  <si>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</si>
  <si>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COMUNITARIO DE SALUD FAMILIAR ARQUENCO</t>
  </si>
  <si>
    <t>MES:</t>
  </si>
  <si>
    <t>DICIEMBRE</t>
  </si>
  <si>
    <t>AÑO:</t>
  </si>
  <si>
    <t xml:space="preserve"> </t>
  </si>
  <si>
    <t>Versión 1.2 Marzo 2025</t>
  </si>
  <si>
    <t>Director/a Servicio de Salud o Director/a Establecimiento</t>
  </si>
  <si>
    <t>SRA. MADELIN HERNÁNDEZ PÉREZ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</si>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</sst>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tabSelected="1" zoomScaleNormal="100" workbookViewId="0">
      <selection activeCell="I11" sqref="I11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7</v>
      </c>
      <c r="G3" s="38">
        <v>8</v>
      </c>
      <c r="H3" s="39">
        <v>2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1</v>
      </c>
      <c r="D6" s="172">
        <v>2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 x14ac:dyDescent="0.15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32</v>
      </c>
      <c r="AB17" s="35" t="s">
        <v>33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34</v>
      </c>
      <c r="AB18" s="35" t="s">
        <v>35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36</v>
      </c>
      <c r="AB19" s="35" t="s">
        <v>37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38</v>
      </c>
      <c r="AB20" s="35" t="s">
        <v>39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40</v>
      </c>
      <c r="AB21" s="35" t="s">
        <v>41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7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40" zoomScaleNormal="100" workbookViewId="0">
      <selection activeCell="G61" sqref="G61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COMUNITARIO DE SALUD FAMILIAR ARQUENCO  ( 121782 )</v>
      </c>
    </row>
    <row r="4" spans="1:6" x14ac:dyDescent="0.2">
      <c r="A4" s="50" t="str">
        <f>CONCATENATE("MES: ",NOMBRE!B6,"  ","( ",NOMBRE!C6,NOMBRE!D6," )")</f>
        <v>MES: DICIEMBRE  ( 12 )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92" t="s">
        <v>64</v>
      </c>
      <c r="B8" s="292"/>
      <c r="C8" s="292"/>
      <c r="D8" s="292"/>
      <c r="E8" s="292"/>
      <c r="F8" s="292"/>
    </row>
    <row r="9" spans="1:6" s="145" customFormat="1" ht="28.5" customHeight="1" x14ac:dyDescent="0.2">
      <c r="A9" s="292"/>
      <c r="B9" s="292"/>
      <c r="C9" s="292"/>
      <c r="D9" s="292"/>
      <c r="E9" s="292"/>
      <c r="F9" s="292"/>
    </row>
    <row r="10" spans="1:6" ht="26.25" customHeight="1" x14ac:dyDescent="0.2">
      <c r="A10" s="300" t="s">
        <v>65</v>
      </c>
      <c r="B10" s="300"/>
      <c r="C10" s="300"/>
    </row>
    <row r="11" spans="1:6" ht="12.75" customHeight="1" x14ac:dyDescent="0.2">
      <c r="A11" s="303" t="s">
        <v>66</v>
      </c>
      <c r="B11" s="304"/>
      <c r="C11" s="305"/>
      <c r="D11" s="293" t="s">
        <v>67</v>
      </c>
      <c r="E11" s="293" t="s">
        <v>68</v>
      </c>
      <c r="F11" s="296" t="s">
        <v>69</v>
      </c>
    </row>
    <row r="12" spans="1:6" ht="21.75" customHeight="1" x14ac:dyDescent="0.2">
      <c r="A12" s="306"/>
      <c r="B12" s="307"/>
      <c r="C12" s="308"/>
      <c r="D12" s="295"/>
      <c r="E12" s="295" t="s">
        <v>70</v>
      </c>
      <c r="F12" s="297" t="s">
        <v>70</v>
      </c>
    </row>
    <row r="13" spans="1:6" ht="20.25" customHeight="1" x14ac:dyDescent="0.2">
      <c r="A13" s="43" t="s">
        <v>71</v>
      </c>
      <c r="B13" s="298"/>
      <c r="C13" s="299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11" t="s">
        <v>73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1" t="s">
        <v>75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1" t="s">
        <v>77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1" t="s">
        <v>79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1" t="s">
        <v>81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13" t="s">
        <v>83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7" t="s">
        <v>85</v>
      </c>
      <c r="C20" s="318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298"/>
      <c r="C21" s="299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 x14ac:dyDescent="0.2">
      <c r="A22" s="98" t="s">
        <v>87</v>
      </c>
      <c r="B22" s="319" t="s">
        <v>88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21" t="s">
        <v>89</v>
      </c>
      <c r="C23" s="322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 x14ac:dyDescent="0.2">
      <c r="A24" s="293"/>
      <c r="B24" s="323" t="s">
        <v>90</v>
      </c>
      <c r="C24" s="180" t="s">
        <v>91</v>
      </c>
      <c r="D24" s="78">
        <f>SUM(F24)</f>
        <v>0</v>
      </c>
      <c r="E24" s="179"/>
      <c r="F24" s="101">
        <v>0</v>
      </c>
    </row>
    <row r="25" spans="1:6" ht="17.25" customHeight="1" x14ac:dyDescent="0.2">
      <c r="A25" s="294"/>
      <c r="B25" s="310"/>
      <c r="C25" s="134" t="s">
        <v>92</v>
      </c>
      <c r="D25" s="80">
        <f>SUM(F25)</f>
        <v>0</v>
      </c>
      <c r="E25" s="100"/>
      <c r="F25" s="93">
        <v>0</v>
      </c>
    </row>
    <row r="26" spans="1:6" ht="17.25" customHeight="1" x14ac:dyDescent="0.2">
      <c r="A26" s="294"/>
      <c r="B26" s="309" t="s">
        <v>93</v>
      </c>
      <c r="C26" s="133" t="s">
        <v>91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294"/>
      <c r="B27" s="310"/>
      <c r="C27" s="134" t="s">
        <v>92</v>
      </c>
      <c r="D27" s="80">
        <f t="shared" si="3"/>
        <v>0</v>
      </c>
      <c r="E27" s="92"/>
      <c r="F27" s="93">
        <v>0</v>
      </c>
    </row>
    <row r="28" spans="1:6" ht="17.25" customHeight="1" x14ac:dyDescent="0.2">
      <c r="A28" s="294"/>
      <c r="B28" s="309" t="s">
        <v>94</v>
      </c>
      <c r="C28" s="133" t="s">
        <v>91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294"/>
      <c r="B29" s="310"/>
      <c r="C29" s="134" t="s">
        <v>92</v>
      </c>
      <c r="D29" s="80">
        <f t="shared" si="3"/>
        <v>0</v>
      </c>
      <c r="E29" s="92"/>
      <c r="F29" s="93">
        <v>0</v>
      </c>
    </row>
    <row r="30" spans="1:6" ht="17.25" customHeight="1" x14ac:dyDescent="0.2">
      <c r="A30" s="294"/>
      <c r="B30" s="309" t="s">
        <v>95</v>
      </c>
      <c r="C30" s="133" t="s">
        <v>91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294"/>
      <c r="B31" s="310"/>
      <c r="C31" s="134" t="s">
        <v>92</v>
      </c>
      <c r="D31" s="80">
        <f t="shared" si="3"/>
        <v>0</v>
      </c>
      <c r="E31" s="92"/>
      <c r="F31" s="93">
        <v>0</v>
      </c>
    </row>
    <row r="32" spans="1:6" ht="17.25" customHeight="1" x14ac:dyDescent="0.2">
      <c r="A32" s="294"/>
      <c r="B32" s="315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294"/>
      <c r="B33" s="316"/>
      <c r="C33" s="134" t="s">
        <v>92</v>
      </c>
      <c r="D33" s="80">
        <f>SUM(D25+D27+D29+D31)</f>
        <v>0</v>
      </c>
      <c r="E33" s="92"/>
      <c r="F33" s="92"/>
    </row>
    <row r="34" spans="1:6" ht="17.25" customHeight="1" x14ac:dyDescent="0.2">
      <c r="A34" s="294"/>
      <c r="B34" s="309" t="s">
        <v>97</v>
      </c>
      <c r="C34" s="133" t="s">
        <v>91</v>
      </c>
      <c r="D34" s="82">
        <f>SUM(F34)</f>
        <v>0</v>
      </c>
      <c r="E34" s="94"/>
      <c r="F34" s="95">
        <v>0</v>
      </c>
    </row>
    <row r="35" spans="1:6" ht="17.25" customHeight="1" x14ac:dyDescent="0.2">
      <c r="A35" s="294"/>
      <c r="B35" s="310"/>
      <c r="C35" s="134" t="s">
        <v>92</v>
      </c>
      <c r="D35" s="81">
        <f>SUM(F35)</f>
        <v>0</v>
      </c>
      <c r="E35" s="92"/>
      <c r="F35" s="93">
        <v>0</v>
      </c>
    </row>
    <row r="36" spans="1:6" ht="17.25" customHeight="1" x14ac:dyDescent="0.2">
      <c r="A36" s="294"/>
      <c r="B36" s="309" t="s">
        <v>98</v>
      </c>
      <c r="C36" s="133" t="s">
        <v>91</v>
      </c>
      <c r="D36" s="82">
        <f>SUM(F36)</f>
        <v>0</v>
      </c>
      <c r="E36" s="146"/>
      <c r="F36" s="95">
        <v>0</v>
      </c>
    </row>
    <row r="37" spans="1:6" ht="17.25" customHeight="1" x14ac:dyDescent="0.2">
      <c r="A37" s="295"/>
      <c r="B37" s="310"/>
      <c r="C37" s="134" t="s">
        <v>92</v>
      </c>
      <c r="D37" s="81">
        <f>SUM(F37)</f>
        <v>0</v>
      </c>
      <c r="E37" s="96"/>
      <c r="F37" s="97">
        <v>0</v>
      </c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6" t="s">
        <v>100</v>
      </c>
      <c r="B40" s="296" t="s">
        <v>67</v>
      </c>
      <c r="C40" s="293" t="s">
        <v>68</v>
      </c>
      <c r="D40" s="296" t="s">
        <v>69</v>
      </c>
    </row>
    <row r="41" spans="1:6" ht="25.5" customHeight="1" x14ac:dyDescent="0.2">
      <c r="A41" s="297"/>
      <c r="B41" s="324"/>
      <c r="C41" s="295" t="s">
        <v>70</v>
      </c>
      <c r="D41" s="297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0</v>
      </c>
      <c r="C43" s="83">
        <f>BM18A!D158</f>
        <v>0</v>
      </c>
      <c r="D43" s="83">
        <f>BM18A!E158</f>
        <v>0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105</v>
      </c>
      <c r="B46" s="79">
        <f t="shared" si="4"/>
        <v>33</v>
      </c>
      <c r="C46" s="83">
        <f>BM18A!D148</f>
        <v>0</v>
      </c>
      <c r="D46" s="83">
        <f>BM18A!E148</f>
        <v>33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0</v>
      </c>
      <c r="C50" s="79">
        <f>BM18A!D177</f>
        <v>0</v>
      </c>
      <c r="D50" s="79">
        <f>BM18A!E177</f>
        <v>0</v>
      </c>
    </row>
    <row r="51" spans="1:4" ht="16.5" customHeight="1" x14ac:dyDescent="0.2">
      <c r="A51" s="223" t="s">
        <v>110</v>
      </c>
      <c r="B51" s="90">
        <f t="shared" si="4"/>
        <v>383</v>
      </c>
      <c r="C51" s="81">
        <f>BM18A!D206</f>
        <v>0</v>
      </c>
      <c r="D51" s="81">
        <f>BM18A!E206</f>
        <v>383</v>
      </c>
    </row>
    <row r="52" spans="1:4" ht="17.25" customHeight="1" x14ac:dyDescent="0.2">
      <c r="A52" s="91" t="s">
        <v>67</v>
      </c>
      <c r="B52" s="77">
        <f>SUM(B42:B51)</f>
        <v>416</v>
      </c>
      <c r="C52" s="77">
        <f>SUM(C42:C51)</f>
        <v>0</v>
      </c>
      <c r="D52" s="77">
        <f>SUM(D42:D51)</f>
        <v>416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32" t="s">
        <v>112</v>
      </c>
      <c r="B55" s="330" t="s">
        <v>67</v>
      </c>
    </row>
    <row r="56" spans="1:4" x14ac:dyDescent="0.2">
      <c r="A56" s="333"/>
      <c r="B56" s="331"/>
    </row>
    <row r="57" spans="1:4" ht="17.25" customHeight="1" x14ac:dyDescent="0.2">
      <c r="A57" s="116" t="s">
        <v>113</v>
      </c>
      <c r="B57" s="207">
        <v>0</v>
      </c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328" t="s">
        <v>115</v>
      </c>
      <c r="B59" s="329"/>
      <c r="C59" s="103" t="s">
        <v>116</v>
      </c>
      <c r="D59" s="104" t="s">
        <v>117</v>
      </c>
    </row>
    <row r="60" spans="1:4" ht="16.5" customHeight="1" x14ac:dyDescent="0.2">
      <c r="A60" s="325" t="s">
        <v>118</v>
      </c>
      <c r="B60" s="208" t="s">
        <v>119</v>
      </c>
      <c r="C60" s="87">
        <v>0</v>
      </c>
      <c r="D60" s="84">
        <v>0</v>
      </c>
    </row>
    <row r="61" spans="1:4" ht="16.5" customHeight="1" x14ac:dyDescent="0.2">
      <c r="A61" s="326"/>
      <c r="B61" s="12" t="s">
        <v>120</v>
      </c>
      <c r="C61" s="88">
        <v>0</v>
      </c>
      <c r="D61" s="85">
        <v>0</v>
      </c>
    </row>
    <row r="62" spans="1:4" ht="16.5" customHeight="1" x14ac:dyDescent="0.2">
      <c r="A62" s="327"/>
      <c r="B62" s="13" t="s">
        <v>121</v>
      </c>
      <c r="C62" s="89">
        <v>0</v>
      </c>
      <c r="D62" s="86">
        <v>0</v>
      </c>
    </row>
    <row r="96" spans="1:1" hidden="1" x14ac:dyDescent="0.2">
      <c r="A96" s="215">
        <f>SUM(D13:D37,B42:B52,B57,C60:C62)</f>
        <v>832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opLeftCell="A43" zoomScaleNormal="100" workbookViewId="0">
      <selection activeCell="E203" sqref="E203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COMUNITARIO DE SALUD FAMILIAR ARQUENCO  ( 121782 )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DICIEMBRE  ( 12 )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61"/>
      <c r="B6" s="361"/>
      <c r="C6" s="361"/>
      <c r="U6" s="54"/>
    </row>
    <row r="7" spans="1:21" s="53" customFormat="1" ht="36.75" customHeight="1" x14ac:dyDescent="0.15">
      <c r="A7" s="369" t="s">
        <v>122</v>
      </c>
      <c r="B7" s="369"/>
      <c r="C7" s="369"/>
      <c r="D7" s="369"/>
      <c r="E7" s="369"/>
      <c r="F7" s="36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68" t="s">
        <v>1</v>
      </c>
      <c r="B10" s="351" t="s">
        <v>66</v>
      </c>
      <c r="C10" s="341" t="s">
        <v>67</v>
      </c>
      <c r="D10" s="351" t="s">
        <v>68</v>
      </c>
      <c r="E10" s="357" t="s">
        <v>69</v>
      </c>
      <c r="F10" s="351" t="s">
        <v>123</v>
      </c>
    </row>
    <row r="11" spans="1:21" ht="18" customHeight="1" x14ac:dyDescent="0.2">
      <c r="A11" s="368"/>
      <c r="B11" s="352"/>
      <c r="C11" s="342"/>
      <c r="D11" s="352"/>
      <c r="E11" s="358"/>
      <c r="F11" s="352"/>
    </row>
    <row r="12" spans="1:21" ht="15" customHeight="1" x14ac:dyDescent="0.2">
      <c r="A12" s="364" t="s">
        <v>124</v>
      </c>
      <c r="B12" s="364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>
        <v>0</v>
      </c>
      <c r="E13" s="114">
        <v>0</v>
      </c>
      <c r="F13" s="65">
        <v>0</v>
      </c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>
        <v>0</v>
      </c>
      <c r="E14" s="114">
        <v>0</v>
      </c>
      <c r="F14" s="65">
        <v>0</v>
      </c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>
        <v>0</v>
      </c>
      <c r="E15" s="114">
        <v>0</v>
      </c>
      <c r="F15" s="65">
        <v>0</v>
      </c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>
        <v>0</v>
      </c>
      <c r="E16" s="114">
        <v>0</v>
      </c>
      <c r="F16" s="65">
        <v>0</v>
      </c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>
        <v>0</v>
      </c>
      <c r="E17" s="114">
        <v>0</v>
      </c>
      <c r="F17" s="65">
        <v>0</v>
      </c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>
        <v>0</v>
      </c>
      <c r="E18" s="114">
        <v>0</v>
      </c>
      <c r="F18" s="65">
        <v>0</v>
      </c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>
        <v>0</v>
      </c>
      <c r="E19" s="114">
        <v>0</v>
      </c>
      <c r="F19" s="65">
        <v>0</v>
      </c>
    </row>
    <row r="20" spans="1:6" ht="15" customHeight="1" x14ac:dyDescent="0.2">
      <c r="A20" s="362" t="s">
        <v>67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64" t="s">
        <v>139</v>
      </c>
      <c r="B22" s="364"/>
      <c r="C22" s="365"/>
      <c r="D22" s="366"/>
      <c r="E22" s="366"/>
      <c r="F22" s="367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>
        <v>0</v>
      </c>
      <c r="E23" s="114">
        <v>0</v>
      </c>
      <c r="F23" s="65">
        <v>0</v>
      </c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>
        <v>0</v>
      </c>
      <c r="E24" s="114">
        <v>0</v>
      </c>
      <c r="F24" s="65">
        <v>0</v>
      </c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>
        <v>0</v>
      </c>
      <c r="E25" s="114">
        <v>0</v>
      </c>
      <c r="F25" s="65">
        <v>0</v>
      </c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>
        <v>0</v>
      </c>
      <c r="E26" s="114">
        <v>0</v>
      </c>
      <c r="F26" s="65">
        <v>0</v>
      </c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>
        <v>0</v>
      </c>
      <c r="E27" s="114">
        <v>0</v>
      </c>
      <c r="F27" s="65">
        <v>0</v>
      </c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>
        <v>0</v>
      </c>
      <c r="E28" s="114">
        <v>0</v>
      </c>
      <c r="F28" s="65">
        <v>0</v>
      </c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>
        <v>0</v>
      </c>
      <c r="E29" s="114">
        <v>0</v>
      </c>
      <c r="F29" s="65">
        <v>0</v>
      </c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>
        <v>0</v>
      </c>
      <c r="E30" s="114">
        <v>0</v>
      </c>
      <c r="F30" s="65">
        <v>0</v>
      </c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>
        <v>0</v>
      </c>
      <c r="E31" s="114">
        <v>0</v>
      </c>
      <c r="F31" s="65">
        <v>0</v>
      </c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>
        <v>0</v>
      </c>
      <c r="E32" s="114">
        <v>0</v>
      </c>
      <c r="F32" s="65">
        <v>0</v>
      </c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>
        <v>0</v>
      </c>
      <c r="E33" s="114">
        <v>0</v>
      </c>
      <c r="F33" s="65">
        <v>0</v>
      </c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>
        <v>0</v>
      </c>
      <c r="E34" s="114">
        <v>0</v>
      </c>
      <c r="F34" s="65">
        <v>0</v>
      </c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>
        <v>0</v>
      </c>
      <c r="E35" s="114">
        <v>0</v>
      </c>
      <c r="F35" s="65">
        <v>0</v>
      </c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>
        <v>0</v>
      </c>
      <c r="E36" s="114">
        <v>0</v>
      </c>
      <c r="F36" s="65">
        <v>0</v>
      </c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>
        <v>0</v>
      </c>
      <c r="E37" s="114">
        <v>0</v>
      </c>
      <c r="F37" s="65">
        <v>0</v>
      </c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>
        <v>0</v>
      </c>
      <c r="E38" s="114">
        <v>0</v>
      </c>
      <c r="F38" s="65">
        <v>0</v>
      </c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>
        <v>0</v>
      </c>
      <c r="E39" s="114">
        <v>0</v>
      </c>
      <c r="F39" s="65">
        <v>0</v>
      </c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>
        <v>0</v>
      </c>
      <c r="E40" s="114">
        <v>0</v>
      </c>
      <c r="F40" s="65">
        <v>0</v>
      </c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>
        <v>0</v>
      </c>
      <c r="E41" s="114">
        <v>0</v>
      </c>
      <c r="F41" s="65">
        <v>0</v>
      </c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>
        <v>0</v>
      </c>
      <c r="E42" s="114">
        <v>0</v>
      </c>
      <c r="F42" s="65">
        <v>0</v>
      </c>
    </row>
    <row r="43" spans="1:6" ht="15" customHeight="1" x14ac:dyDescent="0.2">
      <c r="A43" s="345" t="s">
        <v>67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8" t="s">
        <v>180</v>
      </c>
      <c r="B45" s="339"/>
      <c r="C45" s="370"/>
      <c r="D45" s="370"/>
      <c r="E45" s="370"/>
      <c r="F45" s="37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>
        <v>0</v>
      </c>
      <c r="E46" s="114">
        <v>0</v>
      </c>
      <c r="F46" s="65">
        <v>0</v>
      </c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>
        <v>0</v>
      </c>
      <c r="E47" s="114">
        <v>0</v>
      </c>
      <c r="F47" s="65">
        <v>0</v>
      </c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>
        <v>0</v>
      </c>
      <c r="E48" s="114">
        <v>0</v>
      </c>
      <c r="F48" s="65">
        <v>0</v>
      </c>
    </row>
    <row r="49" spans="1:6" ht="15" customHeight="1" x14ac:dyDescent="0.2">
      <c r="A49" s="345" t="s">
        <v>67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8" t="s">
        <v>79</v>
      </c>
      <c r="B51" s="339"/>
      <c r="C51" s="372"/>
      <c r="D51" s="372"/>
      <c r="E51" s="372"/>
      <c r="F51" s="373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>
        <v>0</v>
      </c>
      <c r="E52" s="114">
        <v>0</v>
      </c>
      <c r="F52" s="65">
        <v>0</v>
      </c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>
        <v>0</v>
      </c>
      <c r="E53" s="114">
        <v>0</v>
      </c>
      <c r="F53" s="65">
        <v>0</v>
      </c>
    </row>
    <row r="54" spans="1:6" ht="15" customHeight="1" x14ac:dyDescent="0.2">
      <c r="A54" s="345" t="s">
        <v>67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8" t="s">
        <v>81</v>
      </c>
      <c r="B56" s="339"/>
      <c r="C56" s="374"/>
      <c r="D56" s="372"/>
      <c r="E56" s="372"/>
      <c r="F56" s="373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>
        <v>0</v>
      </c>
      <c r="E57" s="114">
        <v>0</v>
      </c>
      <c r="F57" s="65">
        <v>0</v>
      </c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>
        <v>0</v>
      </c>
      <c r="E58" s="114">
        <v>0</v>
      </c>
      <c r="F58" s="65">
        <v>0</v>
      </c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>
        <v>0</v>
      </c>
      <c r="E59" s="114">
        <v>0</v>
      </c>
      <c r="F59" s="65">
        <v>0</v>
      </c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>
        <v>0</v>
      </c>
      <c r="E60" s="114">
        <v>0</v>
      </c>
      <c r="F60" s="65">
        <v>0</v>
      </c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>
        <v>0</v>
      </c>
      <c r="E61" s="114">
        <v>0</v>
      </c>
      <c r="F61" s="65">
        <v>0</v>
      </c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>
        <v>0</v>
      </c>
      <c r="E62" s="114">
        <v>0</v>
      </c>
      <c r="F62" s="65">
        <v>0</v>
      </c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>
        <v>0</v>
      </c>
      <c r="E63" s="114">
        <v>0</v>
      </c>
      <c r="F63" s="65">
        <v>0</v>
      </c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>
        <v>0</v>
      </c>
      <c r="E64" s="114">
        <v>0</v>
      </c>
      <c r="F64" s="65">
        <v>0</v>
      </c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>
        <v>0</v>
      </c>
      <c r="E65" s="114">
        <v>0</v>
      </c>
      <c r="F65" s="65">
        <v>0</v>
      </c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>
        <v>0</v>
      </c>
      <c r="E66" s="114">
        <v>0</v>
      </c>
      <c r="F66" s="65">
        <v>0</v>
      </c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>
        <v>0</v>
      </c>
      <c r="E67" s="114">
        <v>0</v>
      </c>
      <c r="F67" s="65">
        <v>0</v>
      </c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>
        <v>0</v>
      </c>
      <c r="E68" s="114">
        <v>0</v>
      </c>
      <c r="F68" s="65">
        <v>0</v>
      </c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>
        <v>0</v>
      </c>
      <c r="E69" s="114">
        <v>0</v>
      </c>
      <c r="F69" s="65">
        <v>0</v>
      </c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>
        <v>0</v>
      </c>
      <c r="E70" s="115">
        <v>0</v>
      </c>
      <c r="F70" s="67">
        <v>0</v>
      </c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>
        <v>0</v>
      </c>
      <c r="E71" s="115">
        <v>0</v>
      </c>
      <c r="F71" s="67">
        <v>0</v>
      </c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>
        <v>0</v>
      </c>
      <c r="E72" s="115">
        <v>0</v>
      </c>
      <c r="F72" s="67">
        <v>0</v>
      </c>
    </row>
    <row r="73" spans="1:6" ht="15" customHeight="1" x14ac:dyDescent="0.2">
      <c r="A73" s="345" t="s">
        <v>67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75" t="s">
        <v>223</v>
      </c>
      <c r="B75" s="376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>
        <v>0</v>
      </c>
      <c r="E76" s="114">
        <v>0</v>
      </c>
      <c r="F76" s="65">
        <v>0</v>
      </c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>
        <v>0</v>
      </c>
      <c r="E77" s="114">
        <v>0</v>
      </c>
      <c r="F77" s="65">
        <v>0</v>
      </c>
    </row>
    <row r="78" spans="1:6" ht="15" customHeight="1" x14ac:dyDescent="0.2">
      <c r="A78" s="345" t="s">
        <v>67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8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>
        <v>0</v>
      </c>
      <c r="E81" s="114">
        <v>0</v>
      </c>
      <c r="F81" s="65">
        <v>0</v>
      </c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>
        <v>0</v>
      </c>
      <c r="E82" s="114">
        <v>0</v>
      </c>
      <c r="F82" s="65">
        <v>0</v>
      </c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>
        <v>0</v>
      </c>
      <c r="E83" s="114">
        <v>0</v>
      </c>
      <c r="F83" s="65">
        <v>0</v>
      </c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>
        <v>0</v>
      </c>
      <c r="E84" s="114">
        <v>0</v>
      </c>
      <c r="F84" s="65">
        <v>0</v>
      </c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>
        <v>0</v>
      </c>
      <c r="E85" s="114">
        <v>0</v>
      </c>
      <c r="F85" s="65">
        <v>0</v>
      </c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>
        <v>0</v>
      </c>
      <c r="E86" s="114">
        <v>0</v>
      </c>
      <c r="F86" s="65">
        <v>0</v>
      </c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>
        <v>0</v>
      </c>
      <c r="E87" s="114">
        <v>0</v>
      </c>
      <c r="F87" s="65">
        <v>0</v>
      </c>
    </row>
    <row r="88" spans="1:6" ht="15" customHeight="1" x14ac:dyDescent="0.2">
      <c r="A88" s="345" t="s">
        <v>67</v>
      </c>
      <c r="B88" s="34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45" t="s">
        <v>243</v>
      </c>
      <c r="B89" s="34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59" t="s">
        <v>244</v>
      </c>
      <c r="B91" s="360"/>
      <c r="C91" s="349"/>
      <c r="D91" s="349"/>
      <c r="E91" s="349"/>
      <c r="F91" s="350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>
        <v>0</v>
      </c>
      <c r="E92" s="113">
        <v>0</v>
      </c>
      <c r="F92" s="63">
        <v>0</v>
      </c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>
        <v>0</v>
      </c>
      <c r="E93" s="114">
        <v>0</v>
      </c>
      <c r="F93" s="65">
        <v>0</v>
      </c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>
        <v>0</v>
      </c>
      <c r="E94" s="114">
        <v>0</v>
      </c>
      <c r="F94" s="65">
        <v>0</v>
      </c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>
        <v>0</v>
      </c>
      <c r="E95" s="114">
        <v>0</v>
      </c>
      <c r="F95" s="65">
        <v>0</v>
      </c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>
        <v>0</v>
      </c>
      <c r="E96" s="114">
        <v>0</v>
      </c>
      <c r="F96" s="65">
        <v>0</v>
      </c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>
        <v>0</v>
      </c>
      <c r="E97" s="114">
        <v>0</v>
      </c>
      <c r="F97" s="65">
        <v>0</v>
      </c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>
        <v>0</v>
      </c>
      <c r="E98" s="114">
        <v>0</v>
      </c>
      <c r="F98" s="65">
        <v>0</v>
      </c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>
        <v>0</v>
      </c>
      <c r="E99" s="114">
        <v>0</v>
      </c>
      <c r="F99" s="65">
        <v>0</v>
      </c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>
        <v>0</v>
      </c>
      <c r="E100" s="114">
        <v>0</v>
      </c>
      <c r="F100" s="65">
        <v>0</v>
      </c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>
        <v>0</v>
      </c>
      <c r="E101" s="114">
        <v>0</v>
      </c>
      <c r="F101" s="65">
        <v>0</v>
      </c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>
        <v>0</v>
      </c>
      <c r="E102" s="114">
        <v>0</v>
      </c>
      <c r="F102" s="65">
        <v>0</v>
      </c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>
        <v>0</v>
      </c>
      <c r="E103" s="114">
        <v>0</v>
      </c>
      <c r="F103" s="65">
        <v>0</v>
      </c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>
        <v>0</v>
      </c>
      <c r="E104" s="114">
        <v>0</v>
      </c>
      <c r="F104" s="65">
        <v>0</v>
      </c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>
        <v>0</v>
      </c>
      <c r="E105" s="114">
        <v>0</v>
      </c>
      <c r="F105" s="65">
        <v>0</v>
      </c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>
        <v>0</v>
      </c>
      <c r="E106" s="114">
        <v>0</v>
      </c>
      <c r="F106" s="65">
        <v>0</v>
      </c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>
        <v>0</v>
      </c>
      <c r="E107" s="114">
        <v>0</v>
      </c>
      <c r="F107" s="65">
        <v>0</v>
      </c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>
        <v>0</v>
      </c>
      <c r="E108" s="114">
        <v>0</v>
      </c>
      <c r="F108" s="65">
        <v>0</v>
      </c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>
        <v>0</v>
      </c>
      <c r="E109" s="114">
        <v>0</v>
      </c>
      <c r="F109" s="65">
        <v>0</v>
      </c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>
        <v>0</v>
      </c>
      <c r="E110" s="114">
        <v>0</v>
      </c>
      <c r="F110" s="65">
        <v>0</v>
      </c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>
        <v>0</v>
      </c>
      <c r="E111" s="114">
        <v>0</v>
      </c>
      <c r="F111" s="65">
        <v>0</v>
      </c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>
        <v>0</v>
      </c>
      <c r="E112" s="114">
        <v>0</v>
      </c>
      <c r="F112" s="65">
        <v>0</v>
      </c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>
        <v>0</v>
      </c>
      <c r="E113" s="114">
        <v>0</v>
      </c>
      <c r="F113" s="65">
        <v>0</v>
      </c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0</v>
      </c>
      <c r="D114" s="65">
        <v>0</v>
      </c>
      <c r="E114" s="114">
        <v>0</v>
      </c>
      <c r="F114" s="65">
        <v>0</v>
      </c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>
        <v>0</v>
      </c>
      <c r="E115" s="114">
        <v>0</v>
      </c>
      <c r="F115" s="65">
        <v>0</v>
      </c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>
        <v>0</v>
      </c>
      <c r="E116" s="114">
        <v>0</v>
      </c>
      <c r="F116" s="65">
        <v>0</v>
      </c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>
        <v>0</v>
      </c>
      <c r="E117" s="114">
        <v>0</v>
      </c>
      <c r="F117" s="65">
        <v>0</v>
      </c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>
        <v>0</v>
      </c>
      <c r="E118" s="184">
        <v>0</v>
      </c>
      <c r="F118" s="183">
        <v>0</v>
      </c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43" t="s">
        <v>299</v>
      </c>
      <c r="B120" s="344"/>
      <c r="C120" s="344"/>
      <c r="D120" s="344"/>
      <c r="E120" s="344"/>
      <c r="F120" s="344"/>
    </row>
    <row r="121" spans="1:6" ht="14.1" customHeight="1" x14ac:dyDescent="0.2">
      <c r="A121" s="351" t="s">
        <v>1</v>
      </c>
      <c r="B121" s="355" t="s">
        <v>100</v>
      </c>
      <c r="C121" s="351" t="s">
        <v>70</v>
      </c>
      <c r="D121" s="351" t="s">
        <v>68</v>
      </c>
      <c r="E121" s="357" t="s">
        <v>69</v>
      </c>
      <c r="F121" s="341" t="s">
        <v>123</v>
      </c>
    </row>
    <row r="122" spans="1:6" s="141" customFormat="1" ht="15" customHeight="1" x14ac:dyDescent="0.2">
      <c r="A122" s="352"/>
      <c r="B122" s="356"/>
      <c r="C122" s="352"/>
      <c r="D122" s="352"/>
      <c r="E122" s="358"/>
      <c r="F122" s="342"/>
    </row>
    <row r="123" spans="1:6" ht="15" customHeight="1" x14ac:dyDescent="0.2">
      <c r="A123" s="338" t="s">
        <v>300</v>
      </c>
      <c r="B123" s="339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>
        <v>0</v>
      </c>
      <c r="E124" s="247">
        <v>0</v>
      </c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>
        <v>0</v>
      </c>
      <c r="E125" s="248">
        <v>0</v>
      </c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>
        <v>0</v>
      </c>
      <c r="E126" s="248">
        <v>0</v>
      </c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>
        <v>0</v>
      </c>
      <c r="E127" s="248">
        <v>0</v>
      </c>
      <c r="F127" s="246"/>
    </row>
    <row r="128" spans="1:6" ht="15" customHeight="1" x14ac:dyDescent="0.2">
      <c r="A128" s="345" t="s">
        <v>67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8" t="s">
        <v>305</v>
      </c>
      <c r="B130" s="339"/>
      <c r="C130" s="334"/>
      <c r="D130" s="335"/>
      <c r="E130" s="335"/>
      <c r="F130" s="336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>
        <v>0</v>
      </c>
      <c r="E131" s="253">
        <v>0</v>
      </c>
      <c r="F131" s="249">
        <v>0</v>
      </c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>
        <v>0</v>
      </c>
      <c r="E132" s="254">
        <v>0</v>
      </c>
      <c r="F132" s="250">
        <v>0</v>
      </c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>
        <v>0</v>
      </c>
      <c r="E133" s="255">
        <v>0</v>
      </c>
      <c r="F133" s="250">
        <v>0</v>
      </c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>
        <v>0</v>
      </c>
      <c r="E134" s="255">
        <v>0</v>
      </c>
      <c r="F134" s="250">
        <v>0</v>
      </c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>
        <v>0</v>
      </c>
      <c r="E135" s="255">
        <v>0</v>
      </c>
      <c r="F135" s="250">
        <v>0</v>
      </c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>
        <v>0</v>
      </c>
      <c r="E136" s="255">
        <v>0</v>
      </c>
      <c r="F136" s="250">
        <v>0</v>
      </c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>
        <v>0</v>
      </c>
      <c r="E137" s="255">
        <v>0</v>
      </c>
      <c r="F137" s="250">
        <v>0</v>
      </c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>
        <v>0</v>
      </c>
      <c r="E138" s="255">
        <v>0</v>
      </c>
      <c r="F138" s="250">
        <v>0</v>
      </c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>
        <v>0</v>
      </c>
      <c r="E139" s="255">
        <v>0</v>
      </c>
      <c r="F139" s="251">
        <v>0</v>
      </c>
    </row>
    <row r="140" spans="1:6" ht="15" customHeight="1" x14ac:dyDescent="0.2">
      <c r="A140" s="345" t="s">
        <v>67</v>
      </c>
      <c r="B140" s="34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8" t="s">
        <v>315</v>
      </c>
      <c r="B142" s="339"/>
      <c r="C142" s="334"/>
      <c r="D142" s="335"/>
      <c r="E142" s="335"/>
      <c r="F142" s="336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27</v>
      </c>
      <c r="D143" s="194">
        <v>0</v>
      </c>
      <c r="E143" s="247">
        <v>27</v>
      </c>
      <c r="F143" s="257">
        <v>0</v>
      </c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>
        <v>0</v>
      </c>
      <c r="E144" s="260">
        <v>0</v>
      </c>
      <c r="F144" s="250">
        <v>0</v>
      </c>
    </row>
    <row r="145" spans="1:6" ht="15" customHeight="1" x14ac:dyDescent="0.2">
      <c r="A145" s="60"/>
      <c r="B145" s="129" t="s">
        <v>320</v>
      </c>
      <c r="C145" s="73">
        <f>SUM(D145:E145)</f>
        <v>6</v>
      </c>
      <c r="D145" s="196">
        <v>0</v>
      </c>
      <c r="E145" s="261">
        <v>6</v>
      </c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>
        <v>0</v>
      </c>
      <c r="E146" s="255">
        <v>0</v>
      </c>
      <c r="F146" s="250">
        <v>0</v>
      </c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>
        <v>0</v>
      </c>
      <c r="E147" s="262">
        <v>0</v>
      </c>
      <c r="F147" s="258">
        <v>0</v>
      </c>
    </row>
    <row r="148" spans="1:6" ht="15" customHeight="1" x14ac:dyDescent="0.2">
      <c r="A148" s="345" t="s">
        <v>67</v>
      </c>
      <c r="B148" s="346"/>
      <c r="C148" s="159">
        <f>SUM(C143:C147)</f>
        <v>33</v>
      </c>
      <c r="D148" s="159">
        <f t="shared" ref="D148" si="16">SUM(D143:D147)</f>
        <v>0</v>
      </c>
      <c r="E148" s="263">
        <f>SUM(E143:E147)</f>
        <v>33</v>
      </c>
      <c r="F148" s="259">
        <f>SUM(F143:F147)</f>
        <v>0</v>
      </c>
    </row>
    <row r="149" spans="1:6" ht="15" customHeight="1" x14ac:dyDescent="0.2">
      <c r="A149" s="130"/>
      <c r="B149" s="337"/>
      <c r="C149" s="337"/>
      <c r="D149" s="337"/>
      <c r="E149" s="337"/>
      <c r="F149" s="337"/>
    </row>
    <row r="150" spans="1:6" ht="15" customHeight="1" x14ac:dyDescent="0.2">
      <c r="A150" s="353" t="s">
        <v>323</v>
      </c>
      <c r="B150" s="354"/>
      <c r="C150" s="345"/>
      <c r="D150" s="347"/>
      <c r="E150" s="347"/>
      <c r="F150" s="34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0</v>
      </c>
      <c r="D151" s="237">
        <v>0</v>
      </c>
      <c r="E151" s="113">
        <v>0</v>
      </c>
      <c r="F151" s="257">
        <v>0</v>
      </c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0</v>
      </c>
      <c r="D152" s="213">
        <v>0</v>
      </c>
      <c r="E152" s="114">
        <v>0</v>
      </c>
      <c r="F152" s="250">
        <v>0</v>
      </c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>
        <v>0</v>
      </c>
      <c r="E153" s="114">
        <v>0</v>
      </c>
      <c r="F153" s="250">
        <v>0</v>
      </c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0</v>
      </c>
      <c r="D154" s="214">
        <v>0</v>
      </c>
      <c r="E154" s="115">
        <v>0</v>
      </c>
      <c r="F154" s="250">
        <v>0</v>
      </c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>
        <v>0</v>
      </c>
      <c r="E155" s="255">
        <v>0</v>
      </c>
      <c r="F155" s="250">
        <v>0</v>
      </c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0</v>
      </c>
      <c r="D156" s="210">
        <v>0</v>
      </c>
      <c r="E156" s="255">
        <v>0</v>
      </c>
      <c r="F156" s="250">
        <v>0</v>
      </c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>
        <v>0</v>
      </c>
      <c r="E157" s="262">
        <v>0</v>
      </c>
      <c r="F157" s="258">
        <v>0</v>
      </c>
    </row>
    <row r="158" spans="1:6" ht="15" customHeight="1" x14ac:dyDescent="0.2">
      <c r="A158" s="345" t="s">
        <v>67</v>
      </c>
      <c r="B158" s="346"/>
      <c r="C158" s="72">
        <f>SUM(C151:C157)</f>
        <v>0</v>
      </c>
      <c r="D158" s="212">
        <f t="shared" ref="D158:F158" si="18">SUM(D151:D157)</f>
        <v>0</v>
      </c>
      <c r="E158" s="256">
        <f t="shared" si="18"/>
        <v>0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8" t="s">
        <v>334</v>
      </c>
      <c r="B160" s="339"/>
      <c r="C160" s="345"/>
      <c r="D160" s="347"/>
      <c r="E160" s="347"/>
      <c r="F160" s="34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>
        <v>0</v>
      </c>
      <c r="E161" s="266">
        <v>0</v>
      </c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>
        <v>0</v>
      </c>
      <c r="E162" s="255">
        <v>0</v>
      </c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>
        <v>0</v>
      </c>
      <c r="E163" s="114">
        <v>0</v>
      </c>
      <c r="F163" s="265"/>
    </row>
    <row r="164" spans="1:6" ht="15" customHeight="1" x14ac:dyDescent="0.2">
      <c r="A164" s="345" t="s">
        <v>67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8" t="s">
        <v>339</v>
      </c>
      <c r="B166" s="339"/>
      <c r="C166" s="345"/>
      <c r="D166" s="347"/>
      <c r="E166" s="347"/>
      <c r="F166" s="346"/>
    </row>
    <row r="167" spans="1:6" ht="15" customHeight="1" x14ac:dyDescent="0.2">
      <c r="A167" s="61"/>
      <c r="B167" s="121" t="s">
        <v>340</v>
      </c>
      <c r="C167" s="241">
        <f>SUM(D167:E167)</f>
        <v>0</v>
      </c>
      <c r="D167" s="240">
        <v>0</v>
      </c>
      <c r="E167" s="266">
        <v>0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>
        <v>0</v>
      </c>
      <c r="E168" s="267">
        <v>0</v>
      </c>
      <c r="F168" s="265"/>
    </row>
    <row r="169" spans="1:6" ht="15" customHeight="1" x14ac:dyDescent="0.2">
      <c r="A169" s="345" t="s">
        <v>67</v>
      </c>
      <c r="B169" s="34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 x14ac:dyDescent="0.2">
      <c r="A170" s="348"/>
      <c r="B170" s="348"/>
      <c r="C170" s="348"/>
      <c r="D170" s="348"/>
      <c r="E170" s="348"/>
      <c r="F170" s="348"/>
    </row>
    <row r="171" spans="1:6" ht="15" customHeight="1" x14ac:dyDescent="0.2">
      <c r="A171" s="338" t="s">
        <v>342</v>
      </c>
      <c r="B171" s="339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0</v>
      </c>
      <c r="D172" s="242">
        <v>0</v>
      </c>
      <c r="E172" s="113">
        <v>0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0</v>
      </c>
      <c r="D173" s="65">
        <v>0</v>
      </c>
      <c r="E173" s="114">
        <v>0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0</v>
      </c>
      <c r="D174" s="65">
        <v>0</v>
      </c>
      <c r="E174" s="114">
        <v>0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0</v>
      </c>
      <c r="D175" s="65">
        <v>0</v>
      </c>
      <c r="E175" s="114">
        <v>0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0</v>
      </c>
      <c r="D176" s="201">
        <v>0</v>
      </c>
      <c r="E176" s="270">
        <v>0</v>
      </c>
      <c r="F176" s="246"/>
    </row>
    <row r="177" spans="1:6" ht="15" customHeight="1" x14ac:dyDescent="0.2">
      <c r="A177" s="345" t="s">
        <v>67</v>
      </c>
      <c r="B177" s="346"/>
      <c r="C177" s="155">
        <f>SUM(C172:C176)</f>
        <v>0</v>
      </c>
      <c r="D177" s="155">
        <f t="shared" ref="D177:E177" si="20">SUM(D172:D176)</f>
        <v>0</v>
      </c>
      <c r="E177" s="271">
        <f t="shared" si="20"/>
        <v>0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8" t="s">
        <v>348</v>
      </c>
      <c r="B179" s="339"/>
      <c r="C179" s="338"/>
      <c r="D179" s="339"/>
      <c r="E179" s="339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>
        <v>0</v>
      </c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>
        <v>0</v>
      </c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>
        <v>0</v>
      </c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>
        <v>0</v>
      </c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>
        <v>0</v>
      </c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>
        <v>0</v>
      </c>
      <c r="E185" s="276"/>
      <c r="F185" s="273"/>
    </row>
    <row r="186" spans="1:6" ht="15" customHeight="1" x14ac:dyDescent="0.2">
      <c r="A186" s="345" t="s">
        <v>67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37"/>
      <c r="B187" s="337"/>
      <c r="C187" s="337"/>
      <c r="D187" s="337"/>
      <c r="E187" s="337"/>
      <c r="F187" s="337"/>
    </row>
    <row r="188" spans="1:6" ht="15" customHeight="1" x14ac:dyDescent="0.2">
      <c r="A188" s="338" t="s">
        <v>110</v>
      </c>
      <c r="B188" s="339"/>
      <c r="C188" s="334"/>
      <c r="D188" s="335"/>
      <c r="E188" s="335"/>
      <c r="F188" s="336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0</v>
      </c>
      <c r="D189" s="225">
        <v>0</v>
      </c>
      <c r="E189" s="266">
        <v>0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0</v>
      </c>
      <c r="D190" s="226">
        <v>0</v>
      </c>
      <c r="E190" s="255">
        <v>0</v>
      </c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51</v>
      </c>
      <c r="D191" s="210">
        <v>0</v>
      </c>
      <c r="E191" s="255">
        <v>51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6</v>
      </c>
      <c r="D192" s="210">
        <v>0</v>
      </c>
      <c r="E192" s="255">
        <v>6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11</v>
      </c>
      <c r="D193" s="210">
        <v>0</v>
      </c>
      <c r="E193" s="255">
        <v>11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0</v>
      </c>
      <c r="D194" s="226">
        <v>0</v>
      </c>
      <c r="E194" s="277">
        <v>0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35</v>
      </c>
      <c r="D195" s="210">
        <v>0</v>
      </c>
      <c r="E195" s="255">
        <v>35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>
        <v>0</v>
      </c>
      <c r="E196" s="255">
        <v>0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>
        <v>0</v>
      </c>
      <c r="E197" s="255">
        <v>0</v>
      </c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0</v>
      </c>
      <c r="D198" s="210">
        <v>0</v>
      </c>
      <c r="E198" s="255">
        <v>0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>
        <v>0</v>
      </c>
      <c r="E199" s="255">
        <v>0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>
        <v>0</v>
      </c>
      <c r="E200" s="255">
        <v>0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>
        <v>0</v>
      </c>
      <c r="E201" s="255">
        <v>0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136</v>
      </c>
      <c r="D202" s="210">
        <v>0</v>
      </c>
      <c r="E202" s="255">
        <v>136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5</v>
      </c>
      <c r="D203" s="210">
        <v>0</v>
      </c>
      <c r="E203" s="255">
        <v>5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131</v>
      </c>
      <c r="D204" s="210">
        <v>0</v>
      </c>
      <c r="E204" s="255">
        <v>131</v>
      </c>
      <c r="F204" s="250">
        <v>0</v>
      </c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8</v>
      </c>
      <c r="D205" s="211">
        <v>0</v>
      </c>
      <c r="E205" s="255">
        <v>8</v>
      </c>
      <c r="F205" s="258">
        <v>0</v>
      </c>
    </row>
    <row r="206" spans="1:6" ht="15" customHeight="1" x14ac:dyDescent="0.2">
      <c r="A206" s="345" t="s">
        <v>67</v>
      </c>
      <c r="B206" s="346"/>
      <c r="C206" s="72">
        <f>SUM(C189:C205)</f>
        <v>383</v>
      </c>
      <c r="D206" s="212">
        <f t="shared" ref="D206:F206" si="24">SUM(D189:D205)</f>
        <v>0</v>
      </c>
      <c r="E206" s="256">
        <f t="shared" si="24"/>
        <v>383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COMUNITARIO DE SALUD FAMILIAR ARQUENCO - 121782 
   / MES:  DICIEMBRE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Marta Vega Muñoz</cp:lastModifiedBy>
  <cp:revision/>
  <dcterms:created xsi:type="dcterms:W3CDTF">2007-01-29T23:37:08Z</dcterms:created>
  <dcterms:modified xsi:type="dcterms:W3CDTF">2026-01-07T14:37:07Z</dcterms:modified>
  <cp:category/>
  <cp:contentStatus/>
</cp:coreProperties>
</file>