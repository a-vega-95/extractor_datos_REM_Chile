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AMANECER\DICIEMBRE\"/>
    </mc:Choice>
  </mc:AlternateContent>
  <xr:revisionPtr revIDLastSave="0" documentId="13_ncr:1_{004B5E47-3EC2-4174-9B93-F755D93D58A6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14490" yWindow="240" windowWidth="13665" windowHeight="14295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 iterateDelta="1E-4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<sst xmlns="http://schemas.openxmlformats.org/spreadsheetml/2006/main" count="452" uniqueCount="397">
  <si>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</si>
  <si>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</si>
  <si>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</si>
  <si>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</si>
  <si>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</si>
  <si>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AMANECER</t>
  </si>
  <si>
    <t>MES:</t>
  </si>
  <si>
    <t>DICIEMBRE</t>
  </si>
  <si>
    <t>AÑO:</t>
  </si>
  <si>
    <t xml:space="preserve"> </t>
  </si>
  <si>
    <t>Versión 1.2 Marzo 2025</t>
  </si>
  <si>
    <t>Director/a Servicio de Salud o Director/a Establecimiento</t>
  </si>
  <si>
    <t>SR. JORGE VALENZUELA VASQUEZ</t>
  </si>
  <si>
    <t>ENERO</t>
  </si>
  <si>
    <t>Establecimiento de Mayor Complejidad (EMAYC)</t>
  </si>
  <si>
    <t>SERVICIO DE SALUD</t>
  </si>
  <si>
    <t>Jefe/a de Estadísticas</t>
  </si>
  <si>
    <t>SRA. 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</si>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</sst>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8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4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0" xfId="125" quotePrefix="1" applyFont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12" sqref="B12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7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1</v>
      </c>
      <c r="D6" s="172">
        <v>2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36</v>
      </c>
      <c r="AB19" s="35" t="s">
        <v>37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38</v>
      </c>
      <c r="AB20" s="35" t="s">
        <v>39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40</v>
      </c>
      <c r="AB21" s="35" t="s">
        <v>41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7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zoomScaleNormal="100" workbookViewId="0">
      <selection activeCell="K32" sqref="K32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</row>
    <row r="4" spans="1:6" x14ac:dyDescent="0.2">
      <c r="A4" s="50" t="str">
        <f>CONCATENATE("MES: ",NOMBRE!B6,"  ","( ",NOMBRE!C6,NOMBRE!D6," )")</f>
        <v>MES: DICIEMBRE  ( 12 )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19" t="s">
        <v>64</v>
      </c>
      <c r="B8" s="319"/>
      <c r="C8" s="319"/>
      <c r="D8" s="319"/>
      <c r="E8" s="319"/>
      <c r="F8" s="319"/>
    </row>
    <row r="9" spans="1:6" s="145" customFormat="1" ht="28.5" customHeight="1" x14ac:dyDescent="0.2">
      <c r="A9" s="319"/>
      <c r="B9" s="319"/>
      <c r="C9" s="319"/>
      <c r="D9" s="319"/>
      <c r="E9" s="319"/>
      <c r="F9" s="319"/>
    </row>
    <row r="10" spans="1:6" ht="26.25" customHeight="1" x14ac:dyDescent="0.2">
      <c r="A10" s="325" t="s">
        <v>65</v>
      </c>
      <c r="B10" s="325"/>
      <c r="C10" s="325"/>
    </row>
    <row r="11" spans="1:6" ht="12.75" customHeight="1" x14ac:dyDescent="0.2">
      <c r="A11" s="326" t="s">
        <v>66</v>
      </c>
      <c r="B11" s="327"/>
      <c r="C11" s="328"/>
      <c r="D11" s="320" t="s">
        <v>67</v>
      </c>
      <c r="E11" s="320" t="s">
        <v>68</v>
      </c>
      <c r="F11" s="292" t="s">
        <v>69</v>
      </c>
    </row>
    <row r="12" spans="1:6" ht="21.75" customHeight="1" x14ac:dyDescent="0.2">
      <c r="A12" s="329"/>
      <c r="B12" s="330"/>
      <c r="C12" s="331"/>
      <c r="D12" s="322"/>
      <c r="E12" s="322" t="s">
        <v>70</v>
      </c>
      <c r="F12" s="293" t="s">
        <v>70</v>
      </c>
    </row>
    <row r="13" spans="1:6" ht="20.25" customHeight="1" x14ac:dyDescent="0.2">
      <c r="A13" s="43" t="s">
        <v>71</v>
      </c>
      <c r="B13" s="323"/>
      <c r="C13" s="324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32" t="s">
        <v>73</v>
      </c>
      <c r="C14" s="333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6" t="s">
        <v>75</v>
      </c>
      <c r="C15" s="307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6" t="s">
        <v>77</v>
      </c>
      <c r="C16" s="307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6" t="s">
        <v>79</v>
      </c>
      <c r="C17" s="307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6" t="s">
        <v>81</v>
      </c>
      <c r="C18" s="307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04" t="s">
        <v>83</v>
      </c>
      <c r="C19" s="305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0" t="s">
        <v>85</v>
      </c>
      <c r="C20" s="311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323"/>
      <c r="C21" s="324"/>
      <c r="D21" s="77">
        <f>SUM(E21:F21)</f>
        <v>36</v>
      </c>
      <c r="E21" s="77">
        <f>SUM(E22+E23)</f>
        <v>0</v>
      </c>
      <c r="F21" s="77">
        <f>SUM(F22+F23)</f>
        <v>36</v>
      </c>
    </row>
    <row r="22" spans="1:6" ht="17.25" customHeight="1" x14ac:dyDescent="0.2">
      <c r="A22" s="98" t="s">
        <v>87</v>
      </c>
      <c r="B22" s="312" t="s">
        <v>88</v>
      </c>
      <c r="C22" s="313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14" t="s">
        <v>89</v>
      </c>
      <c r="C23" s="315"/>
      <c r="D23" s="80">
        <f t="shared" ref="D23" si="2">SUM(E23:F23)</f>
        <v>36</v>
      </c>
      <c r="E23" s="78">
        <f>SUM(BM18A!D114:D118)</f>
        <v>0</v>
      </c>
      <c r="F23" s="80">
        <f>SUM(BM18A!E114:E118)</f>
        <v>36</v>
      </c>
    </row>
    <row r="24" spans="1:6" ht="17.25" customHeight="1" x14ac:dyDescent="0.2">
      <c r="A24" s="320"/>
      <c r="B24" s="316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321"/>
      <c r="B25" s="317"/>
      <c r="C25" s="134" t="s">
        <v>92</v>
      </c>
      <c r="D25" s="80">
        <f>SUM(F25)</f>
        <v>11</v>
      </c>
      <c r="E25" s="100"/>
      <c r="F25" s="93">
        <v>11</v>
      </c>
    </row>
    <row r="26" spans="1:6" ht="17.25" customHeight="1" x14ac:dyDescent="0.2">
      <c r="A26" s="321"/>
      <c r="B26" s="318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21"/>
      <c r="B27" s="317"/>
      <c r="C27" s="134" t="s">
        <v>92</v>
      </c>
      <c r="D27" s="80">
        <f t="shared" si="3"/>
        <v>7</v>
      </c>
      <c r="E27" s="92"/>
      <c r="F27" s="93">
        <v>7</v>
      </c>
    </row>
    <row r="28" spans="1:6" ht="17.25" customHeight="1" x14ac:dyDescent="0.2">
      <c r="A28" s="321"/>
      <c r="B28" s="318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21"/>
      <c r="B29" s="317"/>
      <c r="C29" s="134" t="s">
        <v>92</v>
      </c>
      <c r="D29" s="80">
        <f t="shared" si="3"/>
        <v>2</v>
      </c>
      <c r="E29" s="92"/>
      <c r="F29" s="93">
        <v>2</v>
      </c>
    </row>
    <row r="30" spans="1:6" ht="17.25" customHeight="1" x14ac:dyDescent="0.2">
      <c r="A30" s="321"/>
      <c r="B30" s="318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21"/>
      <c r="B31" s="317"/>
      <c r="C31" s="134" t="s">
        <v>92</v>
      </c>
      <c r="D31" s="80">
        <f t="shared" si="3"/>
        <v>16</v>
      </c>
      <c r="E31" s="92"/>
      <c r="F31" s="93">
        <v>16</v>
      </c>
    </row>
    <row r="32" spans="1:6" ht="17.25" customHeight="1" x14ac:dyDescent="0.2">
      <c r="A32" s="321"/>
      <c r="B32" s="308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321"/>
      <c r="B33" s="309"/>
      <c r="C33" s="134" t="s">
        <v>92</v>
      </c>
      <c r="D33" s="80">
        <f>SUM(D25+D27+D29+D31)</f>
        <v>36</v>
      </c>
      <c r="E33" s="92"/>
      <c r="F33" s="92"/>
    </row>
    <row r="34" spans="1:6" ht="17.25" customHeight="1" x14ac:dyDescent="0.2">
      <c r="A34" s="321"/>
      <c r="B34" s="318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21"/>
      <c r="B35" s="317"/>
      <c r="C35" s="134" t="s">
        <v>92</v>
      </c>
      <c r="D35" s="81">
        <f>SUM(F35)</f>
        <v>8</v>
      </c>
      <c r="E35" s="92"/>
      <c r="F35" s="93">
        <v>8</v>
      </c>
    </row>
    <row r="36" spans="1:6" ht="17.25" customHeight="1" x14ac:dyDescent="0.2">
      <c r="A36" s="321"/>
      <c r="B36" s="318" t="s">
        <v>98</v>
      </c>
      <c r="C36" s="133" t="s">
        <v>91</v>
      </c>
      <c r="D36" s="82">
        <f>SUM(F36)</f>
        <v>0</v>
      </c>
      <c r="E36" s="146"/>
      <c r="F36" s="95">
        <v>0</v>
      </c>
    </row>
    <row r="37" spans="1:6" ht="17.25" customHeight="1" x14ac:dyDescent="0.2">
      <c r="A37" s="322"/>
      <c r="B37" s="317"/>
      <c r="C37" s="134" t="s">
        <v>92</v>
      </c>
      <c r="D37" s="81">
        <f>SUM(F37)</f>
        <v>1</v>
      </c>
      <c r="E37" s="96"/>
      <c r="F37" s="97">
        <v>1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2" t="s">
        <v>100</v>
      </c>
      <c r="B40" s="292" t="s">
        <v>67</v>
      </c>
      <c r="C40" s="320" t="s">
        <v>68</v>
      </c>
      <c r="D40" s="292" t="s">
        <v>69</v>
      </c>
    </row>
    <row r="41" spans="1:6" ht="25.5" customHeight="1" x14ac:dyDescent="0.2">
      <c r="A41" s="293"/>
      <c r="B41" s="294"/>
      <c r="C41" s="322" t="s">
        <v>70</v>
      </c>
      <c r="D41" s="293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70</v>
      </c>
      <c r="C43" s="83">
        <f>BM18A!D158</f>
        <v>0</v>
      </c>
      <c r="D43" s="83">
        <f>BM18A!E158</f>
        <v>70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39</v>
      </c>
      <c r="C45" s="79">
        <f>SUM(BM18A!D132:D139)</f>
        <v>0</v>
      </c>
      <c r="D45" s="79">
        <f>SUM(BM18A!E132:E139)</f>
        <v>39</v>
      </c>
    </row>
    <row r="46" spans="1:6" ht="16.5" customHeight="1" x14ac:dyDescent="0.2">
      <c r="A46" s="90" t="s">
        <v>105</v>
      </c>
      <c r="B46" s="79">
        <f t="shared" si="4"/>
        <v>421</v>
      </c>
      <c r="C46" s="83">
        <f>BM18A!D148</f>
        <v>0</v>
      </c>
      <c r="D46" s="83">
        <f>BM18A!E148</f>
        <v>421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5</v>
      </c>
      <c r="C48" s="83">
        <f>BM18A!D169</f>
        <v>0</v>
      </c>
      <c r="D48" s="83">
        <f>BM18A!E169</f>
        <v>5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169</v>
      </c>
      <c r="C50" s="79">
        <f>BM18A!D177</f>
        <v>0</v>
      </c>
      <c r="D50" s="79">
        <f>BM18A!E177</f>
        <v>169</v>
      </c>
    </row>
    <row r="51" spans="1:4" ht="16.5" customHeight="1" x14ac:dyDescent="0.2">
      <c r="A51" s="223" t="s">
        <v>110</v>
      </c>
      <c r="B51" s="90">
        <f t="shared" si="4"/>
        <v>4140</v>
      </c>
      <c r="C51" s="81">
        <f>BM18A!D206</f>
        <v>0</v>
      </c>
      <c r="D51" s="81">
        <f>BM18A!E206</f>
        <v>4140</v>
      </c>
    </row>
    <row r="52" spans="1:4" ht="17.25" customHeight="1" x14ac:dyDescent="0.2">
      <c r="A52" s="91" t="s">
        <v>67</v>
      </c>
      <c r="B52" s="77">
        <f>SUM(B42:B51)</f>
        <v>4844</v>
      </c>
      <c r="C52" s="77">
        <f>SUM(C42:C51)</f>
        <v>0</v>
      </c>
      <c r="D52" s="77">
        <f>SUM(D42:D51)</f>
        <v>4844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02" t="s">
        <v>112</v>
      </c>
      <c r="B55" s="300" t="s">
        <v>67</v>
      </c>
    </row>
    <row r="56" spans="1:4" x14ac:dyDescent="0.2">
      <c r="A56" s="303"/>
      <c r="B56" s="301"/>
    </row>
    <row r="57" spans="1:4" ht="17.25" customHeight="1" x14ac:dyDescent="0.2">
      <c r="A57" s="116" t="s">
        <v>113</v>
      </c>
      <c r="B57" s="207">
        <v>0</v>
      </c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98" t="s">
        <v>115</v>
      </c>
      <c r="B59" s="299"/>
      <c r="C59" s="103" t="s">
        <v>116</v>
      </c>
      <c r="D59" s="104" t="s">
        <v>117</v>
      </c>
    </row>
    <row r="60" spans="1:4" ht="16.5" customHeight="1" x14ac:dyDescent="0.2">
      <c r="A60" s="295" t="s">
        <v>118</v>
      </c>
      <c r="B60" s="208" t="s">
        <v>119</v>
      </c>
      <c r="C60" s="87">
        <v>28</v>
      </c>
      <c r="D60" s="84"/>
    </row>
    <row r="61" spans="1:4" ht="16.5" customHeight="1" x14ac:dyDescent="0.2">
      <c r="A61" s="296"/>
      <c r="B61" s="12" t="s">
        <v>120</v>
      </c>
      <c r="C61" s="88"/>
      <c r="D61" s="85"/>
    </row>
    <row r="62" spans="1:4" ht="16.5" customHeight="1" x14ac:dyDescent="0.2">
      <c r="A62" s="297"/>
      <c r="B62" s="13" t="s">
        <v>121</v>
      </c>
      <c r="C62" s="89"/>
      <c r="D62" s="86"/>
    </row>
    <row r="96" spans="1:1" hidden="1" x14ac:dyDescent="0.2">
      <c r="A96" s="215">
        <f>SUM(D13:D37,B42:B52,B57,C60:C62)</f>
        <v>9869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B192" zoomScaleNormal="100" workbookViewId="0">
      <selection activeCell="D194" sqref="D194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AMANECER  ( 121307 )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DICIEMBRE  ( 12 )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45"/>
      <c r="B6" s="345"/>
      <c r="C6" s="345"/>
      <c r="U6" s="54"/>
    </row>
    <row r="7" spans="1:21" s="53" customFormat="1" ht="36.75" customHeight="1" x14ac:dyDescent="0.15">
      <c r="A7" s="359" t="s">
        <v>122</v>
      </c>
      <c r="B7" s="359"/>
      <c r="C7" s="359"/>
      <c r="D7" s="359"/>
      <c r="E7" s="359"/>
      <c r="F7" s="35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56" t="s">
        <v>1</v>
      </c>
      <c r="B10" s="352" t="s">
        <v>66</v>
      </c>
      <c r="C10" s="354" t="s">
        <v>67</v>
      </c>
      <c r="D10" s="352" t="s">
        <v>68</v>
      </c>
      <c r="E10" s="357" t="s">
        <v>69</v>
      </c>
      <c r="F10" s="352" t="s">
        <v>123</v>
      </c>
    </row>
    <row r="11" spans="1:21" ht="18" customHeight="1" x14ac:dyDescent="0.2">
      <c r="A11" s="356"/>
      <c r="B11" s="353"/>
      <c r="C11" s="355"/>
      <c r="D11" s="353"/>
      <c r="E11" s="358"/>
      <c r="F11" s="353"/>
    </row>
    <row r="12" spans="1:21" ht="15" customHeight="1" x14ac:dyDescent="0.2">
      <c r="A12" s="348" t="s">
        <v>124</v>
      </c>
      <c r="B12" s="348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46" t="s">
        <v>67</v>
      </c>
      <c r="B20" s="347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48" t="s">
        <v>139</v>
      </c>
      <c r="B22" s="348"/>
      <c r="C22" s="349"/>
      <c r="D22" s="350"/>
      <c r="E22" s="350"/>
      <c r="F22" s="351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34" t="s">
        <v>67</v>
      </c>
      <c r="B43" s="335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9" t="s">
        <v>180</v>
      </c>
      <c r="B45" s="344"/>
      <c r="C45" s="360"/>
      <c r="D45" s="360"/>
      <c r="E45" s="360"/>
      <c r="F45" s="36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34" t="s">
        <v>67</v>
      </c>
      <c r="B49" s="33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9" t="s">
        <v>79</v>
      </c>
      <c r="B51" s="344"/>
      <c r="C51" s="341"/>
      <c r="D51" s="341"/>
      <c r="E51" s="341"/>
      <c r="F51" s="342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34" t="s">
        <v>67</v>
      </c>
      <c r="B54" s="33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9" t="s">
        <v>81</v>
      </c>
      <c r="B56" s="344"/>
      <c r="C56" s="343"/>
      <c r="D56" s="341"/>
      <c r="E56" s="341"/>
      <c r="F56" s="342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34" t="s">
        <v>67</v>
      </c>
      <c r="B73" s="335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37" t="s">
        <v>223</v>
      </c>
      <c r="B75" s="338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34" t="s">
        <v>67</v>
      </c>
      <c r="B78" s="335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9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34" t="s">
        <v>67</v>
      </c>
      <c r="B88" s="33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34" t="s">
        <v>243</v>
      </c>
      <c r="B89" s="33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68" t="s">
        <v>244</v>
      </c>
      <c r="B91" s="369"/>
      <c r="C91" s="362"/>
      <c r="D91" s="362"/>
      <c r="E91" s="362"/>
      <c r="F91" s="363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36</v>
      </c>
      <c r="D114" s="65"/>
      <c r="E114" s="114">
        <v>36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>
        <v>0</v>
      </c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>
        <v>0</v>
      </c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>
        <v>0</v>
      </c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74" t="s">
        <v>299</v>
      </c>
      <c r="B120" s="375"/>
      <c r="C120" s="375"/>
      <c r="D120" s="375"/>
      <c r="E120" s="375"/>
      <c r="F120" s="375"/>
    </row>
    <row r="121" spans="1:6" ht="14.1" customHeight="1" x14ac:dyDescent="0.2">
      <c r="A121" s="352" t="s">
        <v>1</v>
      </c>
      <c r="B121" s="366" t="s">
        <v>100</v>
      </c>
      <c r="C121" s="352" t="s">
        <v>70</v>
      </c>
      <c r="D121" s="352" t="s">
        <v>68</v>
      </c>
      <c r="E121" s="357" t="s">
        <v>69</v>
      </c>
      <c r="F121" s="354" t="s">
        <v>123</v>
      </c>
    </row>
    <row r="122" spans="1:6" s="141" customFormat="1" ht="15" customHeight="1" x14ac:dyDescent="0.2">
      <c r="A122" s="353"/>
      <c r="B122" s="367"/>
      <c r="C122" s="353"/>
      <c r="D122" s="353"/>
      <c r="E122" s="358"/>
      <c r="F122" s="355"/>
    </row>
    <row r="123" spans="1:6" ht="15" customHeight="1" x14ac:dyDescent="0.2">
      <c r="A123" s="339" t="s">
        <v>300</v>
      </c>
      <c r="B123" s="344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>
        <v>0</v>
      </c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>
        <v>0</v>
      </c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>
        <v>0</v>
      </c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>
        <v>0</v>
      </c>
      <c r="F127" s="246"/>
    </row>
    <row r="128" spans="1:6" ht="15" customHeight="1" x14ac:dyDescent="0.2">
      <c r="A128" s="334" t="s">
        <v>67</v>
      </c>
      <c r="B128" s="33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9" t="s">
        <v>305</v>
      </c>
      <c r="B130" s="344"/>
      <c r="C130" s="370"/>
      <c r="D130" s="371"/>
      <c r="E130" s="371"/>
      <c r="F130" s="372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>
        <v>0</v>
      </c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11</v>
      </c>
      <c r="D132" s="205"/>
      <c r="E132" s="254">
        <v>11</v>
      </c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14</v>
      </c>
      <c r="D133" s="189"/>
      <c r="E133" s="255">
        <v>14</v>
      </c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0</v>
      </c>
      <c r="D134" s="189"/>
      <c r="E134" s="255">
        <v>0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>
        <v>0</v>
      </c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>
        <v>0</v>
      </c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8</v>
      </c>
      <c r="D137" s="189"/>
      <c r="E137" s="255">
        <v>8</v>
      </c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5</v>
      </c>
      <c r="D138" s="189"/>
      <c r="E138" s="255">
        <v>5</v>
      </c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1</v>
      </c>
      <c r="D139" s="189"/>
      <c r="E139" s="255">
        <v>1</v>
      </c>
      <c r="F139" s="251"/>
    </row>
    <row r="140" spans="1:6" ht="15" customHeight="1" x14ac:dyDescent="0.2">
      <c r="A140" s="334" t="s">
        <v>67</v>
      </c>
      <c r="B140" s="336"/>
      <c r="C140" s="72">
        <f>SUM(C131:C139)</f>
        <v>39</v>
      </c>
      <c r="D140" s="72">
        <f t="shared" ref="D140:F140" si="15">SUM(D131:D139)</f>
        <v>0</v>
      </c>
      <c r="E140" s="256">
        <f t="shared" si="15"/>
        <v>39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9" t="s">
        <v>315</v>
      </c>
      <c r="B142" s="344"/>
      <c r="C142" s="370"/>
      <c r="D142" s="371"/>
      <c r="E142" s="371"/>
      <c r="F142" s="372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421</v>
      </c>
      <c r="D143" s="194"/>
      <c r="E143" s="247">
        <v>421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>
        <v>0</v>
      </c>
      <c r="F144" s="250"/>
    </row>
    <row r="145" spans="1:6" ht="15" customHeight="1" x14ac:dyDescent="0.2">
      <c r="A145" s="60"/>
      <c r="B145" s="129" t="s">
        <v>320</v>
      </c>
      <c r="C145" s="73">
        <f>SUM(D145:E145)</f>
        <v>0</v>
      </c>
      <c r="D145" s="196"/>
      <c r="E145" s="261">
        <v>0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>
        <v>0</v>
      </c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>
        <v>0</v>
      </c>
      <c r="F147" s="258"/>
    </row>
    <row r="148" spans="1:6" ht="15" customHeight="1" x14ac:dyDescent="0.2">
      <c r="A148" s="334" t="s">
        <v>67</v>
      </c>
      <c r="B148" s="336"/>
      <c r="C148" s="159">
        <f>SUM(C143:C147)</f>
        <v>421</v>
      </c>
      <c r="D148" s="159">
        <f t="shared" ref="D148" si="16">SUM(D143:D147)</f>
        <v>0</v>
      </c>
      <c r="E148" s="263">
        <f>SUM(E143:E147)</f>
        <v>421</v>
      </c>
      <c r="F148" s="259">
        <f>SUM(F143:F147)</f>
        <v>0</v>
      </c>
    </row>
    <row r="149" spans="1:6" ht="15" customHeight="1" x14ac:dyDescent="0.2">
      <c r="A149" s="130"/>
      <c r="B149" s="373"/>
      <c r="C149" s="373"/>
      <c r="D149" s="373"/>
      <c r="E149" s="373"/>
      <c r="F149" s="373"/>
    </row>
    <row r="150" spans="1:6" ht="15" customHeight="1" x14ac:dyDescent="0.2">
      <c r="A150" s="364" t="s">
        <v>323</v>
      </c>
      <c r="B150" s="365"/>
      <c r="C150" s="334"/>
      <c r="D150" s="335"/>
      <c r="E150" s="335"/>
      <c r="F150" s="33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>
        <v>0</v>
      </c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39</v>
      </c>
      <c r="D152" s="213"/>
      <c r="E152" s="114">
        <v>39</v>
      </c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>
        <v>0</v>
      </c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16</v>
      </c>
      <c r="D154" s="214"/>
      <c r="E154" s="115">
        <v>16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>
        <v>0</v>
      </c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3</v>
      </c>
      <c r="D156" s="210"/>
      <c r="E156" s="255">
        <v>3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12</v>
      </c>
      <c r="D157" s="211"/>
      <c r="E157" s="262">
        <v>12</v>
      </c>
      <c r="F157" s="258"/>
    </row>
    <row r="158" spans="1:6" ht="15" customHeight="1" x14ac:dyDescent="0.2">
      <c r="A158" s="334" t="s">
        <v>67</v>
      </c>
      <c r="B158" s="336"/>
      <c r="C158" s="72">
        <f>SUM(C151:C157)</f>
        <v>70</v>
      </c>
      <c r="D158" s="212">
        <f t="shared" ref="D158:F158" si="18">SUM(D151:D157)</f>
        <v>0</v>
      </c>
      <c r="E158" s="256">
        <f t="shared" si="18"/>
        <v>70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9" t="s">
        <v>334</v>
      </c>
      <c r="B160" s="344"/>
      <c r="C160" s="334"/>
      <c r="D160" s="335"/>
      <c r="E160" s="335"/>
      <c r="F160" s="33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34" t="s">
        <v>67</v>
      </c>
      <c r="B164" s="33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9" t="s">
        <v>339</v>
      </c>
      <c r="B166" s="344"/>
      <c r="C166" s="334"/>
      <c r="D166" s="335"/>
      <c r="E166" s="335"/>
      <c r="F166" s="336"/>
    </row>
    <row r="167" spans="1:6" ht="15" customHeight="1" x14ac:dyDescent="0.2">
      <c r="A167" s="61"/>
      <c r="B167" s="121" t="s">
        <v>340</v>
      </c>
      <c r="C167" s="241">
        <f>SUM(D167:E167)</f>
        <v>1</v>
      </c>
      <c r="D167" s="240"/>
      <c r="E167" s="266">
        <v>1</v>
      </c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4</v>
      </c>
      <c r="D168" s="227"/>
      <c r="E168" s="267">
        <v>4</v>
      </c>
      <c r="F168" s="265"/>
    </row>
    <row r="169" spans="1:6" ht="15" customHeight="1" x14ac:dyDescent="0.2">
      <c r="A169" s="334" t="s">
        <v>67</v>
      </c>
      <c r="B169" s="336"/>
      <c r="C169" s="155">
        <f>SUM(C167:C168)</f>
        <v>5</v>
      </c>
      <c r="D169" s="228">
        <f>SUM(D167:D168)</f>
        <v>0</v>
      </c>
      <c r="E169" s="268">
        <f>SUM(E167:E168)</f>
        <v>5</v>
      </c>
      <c r="F169" s="192"/>
    </row>
    <row r="170" spans="1:6" ht="15" customHeight="1" x14ac:dyDescent="0.2">
      <c r="A170" s="376"/>
      <c r="B170" s="376"/>
      <c r="C170" s="376"/>
      <c r="D170" s="376"/>
      <c r="E170" s="376"/>
      <c r="F170" s="376"/>
    </row>
    <row r="171" spans="1:6" ht="15" customHeight="1" x14ac:dyDescent="0.2">
      <c r="A171" s="339" t="s">
        <v>342</v>
      </c>
      <c r="B171" s="344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14</v>
      </c>
      <c r="D172" s="242"/>
      <c r="E172" s="113">
        <v>14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4</v>
      </c>
      <c r="D173" s="65"/>
      <c r="E173" s="114">
        <v>4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8</v>
      </c>
      <c r="D174" s="65"/>
      <c r="E174" s="114">
        <v>8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101</v>
      </c>
      <c r="D175" s="65"/>
      <c r="E175" s="114">
        <v>101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42</v>
      </c>
      <c r="D176" s="201"/>
      <c r="E176" s="270">
        <v>42</v>
      </c>
      <c r="F176" s="246"/>
    </row>
    <row r="177" spans="1:6" ht="15" customHeight="1" x14ac:dyDescent="0.2">
      <c r="A177" s="334" t="s">
        <v>67</v>
      </c>
      <c r="B177" s="336"/>
      <c r="C177" s="155">
        <f>SUM(C172:C176)</f>
        <v>169</v>
      </c>
      <c r="D177" s="155">
        <f t="shared" ref="D177:E177" si="20">SUM(D172:D176)</f>
        <v>0</v>
      </c>
      <c r="E177" s="271">
        <f t="shared" si="20"/>
        <v>169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9" t="s">
        <v>348</v>
      </c>
      <c r="B179" s="344"/>
      <c r="C179" s="339"/>
      <c r="D179" s="344"/>
      <c r="E179" s="344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34" t="s">
        <v>67</v>
      </c>
      <c r="B186" s="33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73"/>
      <c r="B187" s="373"/>
      <c r="C187" s="373"/>
      <c r="D187" s="373"/>
      <c r="E187" s="373"/>
      <c r="F187" s="373"/>
    </row>
    <row r="188" spans="1:6" ht="15" customHeight="1" x14ac:dyDescent="0.2">
      <c r="A188" s="339" t="s">
        <v>110</v>
      </c>
      <c r="B188" s="344"/>
      <c r="C188" s="370"/>
      <c r="D188" s="371"/>
      <c r="E188" s="371"/>
      <c r="F188" s="372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519</v>
      </c>
      <c r="D189" s="225"/>
      <c r="E189" s="266">
        <v>519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0</v>
      </c>
      <c r="D190" s="226"/>
      <c r="E190" s="255">
        <v>0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268</v>
      </c>
      <c r="D191" s="210"/>
      <c r="E191" s="255">
        <v>268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160</v>
      </c>
      <c r="D192" s="210"/>
      <c r="E192" s="255">
        <v>160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179</v>
      </c>
      <c r="D193" s="210"/>
      <c r="E193" s="255">
        <v>179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105</v>
      </c>
      <c r="D194" s="226"/>
      <c r="E194" s="277">
        <v>105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529</v>
      </c>
      <c r="D195" s="210"/>
      <c r="E195" s="255">
        <v>529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/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/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0</v>
      </c>
      <c r="D198" s="210"/>
      <c r="E198" s="255">
        <v>0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/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0</v>
      </c>
      <c r="D200" s="210"/>
      <c r="E200" s="255">
        <v>0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0</v>
      </c>
      <c r="D201" s="210"/>
      <c r="E201" s="255">
        <v>0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914</v>
      </c>
      <c r="D202" s="210"/>
      <c r="E202" s="255">
        <v>914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27</v>
      </c>
      <c r="D203" s="210"/>
      <c r="E203" s="255">
        <v>27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1403</v>
      </c>
      <c r="D204" s="210"/>
      <c r="E204" s="255">
        <v>1403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36</v>
      </c>
      <c r="D205" s="211"/>
      <c r="E205" s="255">
        <v>36</v>
      </c>
      <c r="F205" s="258"/>
    </row>
    <row r="206" spans="1:6" ht="15" customHeight="1" x14ac:dyDescent="0.2">
      <c r="A206" s="334" t="s">
        <v>67</v>
      </c>
      <c r="B206" s="336"/>
      <c r="C206" s="72">
        <f>SUM(C189:C205)</f>
        <v>4140</v>
      </c>
      <c r="D206" s="212">
        <f t="shared" ref="D206:F206" si="24">SUM(D189:D205)</f>
        <v>0</v>
      </c>
      <c r="E206" s="256">
        <f t="shared" si="24"/>
        <v>4140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A49:B49"/>
    <mergeCell ref="C51:F51"/>
    <mergeCell ref="A54:B54"/>
    <mergeCell ref="C56:F56"/>
    <mergeCell ref="A51:B51"/>
    <mergeCell ref="A56:B56"/>
    <mergeCell ref="A73:B73"/>
    <mergeCell ref="A78:B78"/>
    <mergeCell ref="A88:B88"/>
    <mergeCell ref="A89:B89"/>
    <mergeCell ref="A75:B75"/>
    <mergeCell ref="A80:B8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DICIEMBRE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Carol Figueroa</cp:lastModifiedBy>
  <cp:revision/>
  <dcterms:created xsi:type="dcterms:W3CDTF">2007-01-29T23:37:08Z</dcterms:created>
  <dcterms:modified xsi:type="dcterms:W3CDTF">2026-01-06T20:26:00Z</dcterms:modified>
  <cp:category/>
  <cp:contentStatus/>
</cp:coreProperties>
</file>