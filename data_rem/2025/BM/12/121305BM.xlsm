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DICIEMBRE\"/>
    </mc:Choice>
  </mc:AlternateContent>
  <xr:revisionPtr revIDLastSave="0" documentId="13_ncr:1_{58692251-1D06-48C4-859F-3F5F006ECA74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<sst xmlns="http://schemas.openxmlformats.org/spreadsheetml/2006/main" count="452" uniqueCount="397">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</sst>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2" sqref="I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8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51</v>
      </c>
      <c r="E21" s="77">
        <f>SUM(E22+E23)</f>
        <v>0</v>
      </c>
      <c r="F21" s="77">
        <f>SUM(F22+F23)</f>
        <v>51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51</v>
      </c>
      <c r="E23" s="78">
        <f>SUM(BM18A!D114:D118)</f>
        <v>0</v>
      </c>
      <c r="F23" s="80">
        <f>SUM(BM18A!E114:E118)</f>
        <v>51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7</v>
      </c>
      <c r="E25" s="100"/>
      <c r="F25" s="93">
        <v>7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15</v>
      </c>
      <c r="E27" s="92"/>
      <c r="F27" s="93">
        <v>15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8</v>
      </c>
      <c r="E31" s="92"/>
      <c r="F31" s="93">
        <v>8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31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16</v>
      </c>
      <c r="E35" s="92"/>
      <c r="F35" s="93">
        <v>16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4</v>
      </c>
      <c r="E37" s="96"/>
      <c r="F37" s="97">
        <v>4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28</v>
      </c>
      <c r="C43" s="83">
        <f>BM18A!D158</f>
        <v>0</v>
      </c>
      <c r="D43" s="83">
        <f>BM18A!E158</f>
        <v>28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</v>
      </c>
      <c r="C45" s="79">
        <f>SUM(BM18A!D132:D139)</f>
        <v>0</v>
      </c>
      <c r="D45" s="79">
        <f>SUM(BM18A!E132:E139)</f>
        <v>1</v>
      </c>
    </row>
    <row r="46" spans="1:6" ht="16.5" customHeight="1" x14ac:dyDescent="0.2">
      <c r="A46" s="90" t="s">
        <v>105</v>
      </c>
      <c r="B46" s="79">
        <f t="shared" si="4"/>
        <v>14</v>
      </c>
      <c r="C46" s="83">
        <f>BM18A!D148</f>
        <v>0</v>
      </c>
      <c r="D46" s="83">
        <f>BM18A!E148</f>
        <v>14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82</v>
      </c>
      <c r="C50" s="79">
        <f>BM18A!D177</f>
        <v>0</v>
      </c>
      <c r="D50" s="79">
        <f>BM18A!E177</f>
        <v>82</v>
      </c>
    </row>
    <row r="51" spans="1:4" ht="16.5" customHeight="1" x14ac:dyDescent="0.2">
      <c r="A51" s="223" t="s">
        <v>110</v>
      </c>
      <c r="B51" s="90">
        <f t="shared" si="4"/>
        <v>1962</v>
      </c>
      <c r="C51" s="81">
        <f>BM18A!D206</f>
        <v>0</v>
      </c>
      <c r="D51" s="81">
        <f>BM18A!E206</f>
        <v>1962</v>
      </c>
    </row>
    <row r="52" spans="1:4" ht="17.25" customHeight="1" x14ac:dyDescent="0.2">
      <c r="A52" s="91" t="s">
        <v>67</v>
      </c>
      <c r="B52" s="77">
        <f>SUM(B42:B51)</f>
        <v>2087</v>
      </c>
      <c r="C52" s="77">
        <f>SUM(C42:C51)</f>
        <v>0</v>
      </c>
      <c r="D52" s="77">
        <f>SUM(D42:D51)</f>
        <v>2087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6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4366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40" zoomScaleNormal="100" workbookViewId="0">
      <selection activeCell="G156" sqref="G15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</v>
      </c>
      <c r="D83" s="65">
        <v>0</v>
      </c>
      <c r="E83" s="114">
        <v>1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45" t="s">
        <v>67</v>
      </c>
      <c r="B88" s="34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31</v>
      </c>
      <c r="D114" s="65">
        <v>0</v>
      </c>
      <c r="E114" s="114">
        <v>31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20</v>
      </c>
      <c r="D115" s="65">
        <v>0</v>
      </c>
      <c r="E115" s="114">
        <v>20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1</v>
      </c>
      <c r="D134" s="189">
        <v>0</v>
      </c>
      <c r="E134" s="255">
        <v>1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45" t="s">
        <v>67</v>
      </c>
      <c r="B140" s="346"/>
      <c r="C140" s="72">
        <f>SUM(C131:C139)</f>
        <v>1</v>
      </c>
      <c r="D140" s="72">
        <f t="shared" ref="D140:F140" si="15">SUM(D131:D139)</f>
        <v>0</v>
      </c>
      <c r="E140" s="256">
        <f t="shared" si="15"/>
        <v>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>
        <v>0</v>
      </c>
      <c r="E143" s="247">
        <v>0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14</v>
      </c>
      <c r="D145" s="196">
        <v>0</v>
      </c>
      <c r="E145" s="261">
        <v>14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45" t="s">
        <v>67</v>
      </c>
      <c r="B148" s="346"/>
      <c r="C148" s="159">
        <f>SUM(C143:C147)</f>
        <v>14</v>
      </c>
      <c r="D148" s="159">
        <f t="shared" ref="D148" si="16">SUM(D143:D147)</f>
        <v>0</v>
      </c>
      <c r="E148" s="263">
        <f>SUM(E143:E147)</f>
        <v>14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26</v>
      </c>
      <c r="D151" s="237">
        <v>0</v>
      </c>
      <c r="E151" s="113">
        <v>26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</v>
      </c>
      <c r="D154" s="214">
        <v>0</v>
      </c>
      <c r="E154" s="115">
        <v>2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45" t="s">
        <v>67</v>
      </c>
      <c r="B158" s="346"/>
      <c r="C158" s="72">
        <f>SUM(C151:C157)</f>
        <v>28</v>
      </c>
      <c r="D158" s="212">
        <f t="shared" ref="D158:F158" si="18">SUM(D151:D157)</f>
        <v>0</v>
      </c>
      <c r="E158" s="256">
        <f t="shared" si="18"/>
        <v>28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7</v>
      </c>
      <c r="D172" s="242">
        <v>0</v>
      </c>
      <c r="E172" s="113">
        <v>7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>
        <v>0</v>
      </c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>
        <v>0</v>
      </c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52</v>
      </c>
      <c r="D175" s="65">
        <v>0</v>
      </c>
      <c r="E175" s="114">
        <v>52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12</v>
      </c>
      <c r="D176" s="201">
        <v>0</v>
      </c>
      <c r="E176" s="270">
        <v>12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82</v>
      </c>
      <c r="D177" s="155">
        <f t="shared" ref="D177:E177" si="20">SUM(D172:D176)</f>
        <v>0</v>
      </c>
      <c r="E177" s="271">
        <f t="shared" si="20"/>
        <v>82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548</v>
      </c>
      <c r="D189" s="225">
        <v>0</v>
      </c>
      <c r="E189" s="266">
        <v>548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25</v>
      </c>
      <c r="D190" s="226">
        <v>0</v>
      </c>
      <c r="E190" s="255">
        <v>25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177</v>
      </c>
      <c r="D191" s="210">
        <v>0</v>
      </c>
      <c r="E191" s="255">
        <v>177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90</v>
      </c>
      <c r="D192" s="210">
        <v>0</v>
      </c>
      <c r="E192" s="255">
        <v>90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59</v>
      </c>
      <c r="D193" s="210">
        <v>0</v>
      </c>
      <c r="E193" s="255">
        <v>59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50</v>
      </c>
      <c r="D194" s="226">
        <v>0</v>
      </c>
      <c r="E194" s="277">
        <v>50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287</v>
      </c>
      <c r="D195" s="210">
        <v>0</v>
      </c>
      <c r="E195" s="255">
        <v>287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31</v>
      </c>
      <c r="D198" s="210">
        <v>0</v>
      </c>
      <c r="E198" s="255">
        <v>31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31</v>
      </c>
      <c r="D202" s="210">
        <v>0</v>
      </c>
      <c r="E202" s="255">
        <v>31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6</v>
      </c>
      <c r="D203" s="210">
        <v>0</v>
      </c>
      <c r="E203" s="255">
        <v>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651</v>
      </c>
      <c r="D204" s="210">
        <v>0</v>
      </c>
      <c r="E204" s="255">
        <v>651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7</v>
      </c>
      <c r="D205" s="211">
        <v>0</v>
      </c>
      <c r="E205" s="255">
        <v>7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1962</v>
      </c>
      <c r="D206" s="212">
        <f t="shared" ref="D206:F206" si="24">SUM(D189:D205)</f>
        <v>0</v>
      </c>
      <c r="E206" s="256">
        <f t="shared" si="24"/>
        <v>1962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Vega Muñoz</cp:lastModifiedBy>
  <cp:revision/>
  <dcterms:created xsi:type="dcterms:W3CDTF">2007-01-29T23:37:08Z</dcterms:created>
  <dcterms:modified xsi:type="dcterms:W3CDTF">2026-01-07T13:44:54Z</dcterms:modified>
  <cp:category/>
  <cp:contentStatus/>
</cp:coreProperties>
</file>