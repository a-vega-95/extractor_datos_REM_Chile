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denisse.lemunao\Desktop\Mis Compartidos Denisse\REM 2025\PEDRO DE VALDIVIA\DICIEMBRE\"/>
    </mc:Choice>
  </mc:AlternateContent>
  <xr:revisionPtr revIDLastSave="0" documentId="13_ncr:1_{59F25D6C-A851-4AEB-BBE9-CAB905B7702F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05" yWindow="0" windowWidth="14610" windowHeight="15585" tabRatio="765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6" i="19" l="1"/>
  <c r="C26" i="19"/>
  <c r="C70" i="19"/>
  <c r="C71" i="19"/>
  <c r="C68" i="19"/>
  <c r="C63" i="19"/>
  <c r="C25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<sst xmlns="http://schemas.openxmlformats.org/spreadsheetml/2006/main" count="452" uniqueCount="397">
  <si>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</si>
  <si>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</si>
  <si>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</si>
  <si>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</si>
  <si>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</si>
  <si>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PEDRO DE VALDIVIA</t>
  </si>
  <si>
    <t>MES:</t>
  </si>
  <si>
    <t>DICIEMBRE</t>
  </si>
  <si>
    <t>AÑO:</t>
  </si>
  <si>
    <t xml:space="preserve"> </t>
  </si>
  <si>
    <t>Versión 1.2 Marzo 2025</t>
  </si>
  <si>
    <t>Director/a Servicio de Salud o Director/a Establecimiento</t>
  </si>
  <si>
    <t>KATHERINE FUENTES ASTUDILLO</t>
  </si>
  <si>
    <t>ENERO</t>
  </si>
  <si>
    <t>Establecimiento de Mayor Complejidad (EMAYC)</t>
  </si>
  <si>
    <t>SERVICIO DE SALUD</t>
  </si>
  <si>
    <t>Jefe/a de Estadísticas</t>
  </si>
  <si>
    <t>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</si>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</sst>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G9" sqref="G9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4</v>
      </c>
      <c r="H3" s="39">
        <v>7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1</v>
      </c>
      <c r="D6" s="172">
        <v>2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 x14ac:dyDescent="0.15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34</v>
      </c>
      <c r="AB18" s="35" t="s">
        <v>35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36</v>
      </c>
      <c r="AB19" s="35" t="s">
        <v>37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38</v>
      </c>
      <c r="AB20" s="35" t="s">
        <v>39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40</v>
      </c>
      <c r="AB21" s="35" t="s">
        <v>41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7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29" zoomScale="77" zoomScaleNormal="77" workbookViewId="0">
      <selection activeCell="A145" sqref="A145:XFD145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PEDRO DE VALDIVIA  ( 121347 )</v>
      </c>
    </row>
    <row r="4" spans="1:6" x14ac:dyDescent="0.2">
      <c r="A4" s="50" t="str">
        <f>CONCATENATE("MES: ",NOMBRE!B6,"  ","( ",NOMBRE!C6,NOMBRE!D6," )")</f>
        <v>MES: DICIEMBRE  ( 12 )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65</v>
      </c>
      <c r="B10" s="325"/>
      <c r="C10" s="325"/>
    </row>
    <row r="11" spans="1:6" ht="12.75" customHeight="1" x14ac:dyDescent="0.2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 x14ac:dyDescent="0.2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 x14ac:dyDescent="0.2">
      <c r="A13" s="43" t="s">
        <v>71</v>
      </c>
      <c r="B13" s="323"/>
      <c r="C13" s="324"/>
      <c r="D13" s="76">
        <f>SUM(E13:F13)</f>
        <v>16</v>
      </c>
      <c r="E13" s="77">
        <f>SUM(E14:E20)</f>
        <v>0</v>
      </c>
      <c r="F13" s="77">
        <f>SUM(F14:F20)</f>
        <v>16</v>
      </c>
    </row>
    <row r="14" spans="1:6" ht="17.25" customHeight="1" x14ac:dyDescent="0.2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0" t="s">
        <v>85</v>
      </c>
      <c r="C20" s="311"/>
      <c r="D20" s="78">
        <f t="shared" si="1"/>
        <v>16</v>
      </c>
      <c r="E20" s="78">
        <f>BM18A!D88</f>
        <v>0</v>
      </c>
      <c r="F20" s="78">
        <f>BM18A!E88</f>
        <v>16</v>
      </c>
    </row>
    <row r="21" spans="1:6" ht="17.25" customHeight="1" x14ac:dyDescent="0.2">
      <c r="A21" s="43" t="s">
        <v>86</v>
      </c>
      <c r="B21" s="323"/>
      <c r="C21" s="324"/>
      <c r="D21" s="77">
        <f>SUM(E21:F21)</f>
        <v>726</v>
      </c>
      <c r="E21" s="77">
        <f>SUM(E22+E23)</f>
        <v>0</v>
      </c>
      <c r="F21" s="77">
        <f>SUM(F22+F23)</f>
        <v>726</v>
      </c>
    </row>
    <row r="22" spans="1:6" ht="17.25" customHeight="1" x14ac:dyDescent="0.2">
      <c r="A22" s="98" t="s">
        <v>87</v>
      </c>
      <c r="B22" s="312" t="s">
        <v>88</v>
      </c>
      <c r="C22" s="313"/>
      <c r="D22" s="79">
        <f>SUM(E22:F22)</f>
        <v>712</v>
      </c>
      <c r="E22" s="78">
        <f>SUM(BM18A!D92:D113)</f>
        <v>0</v>
      </c>
      <c r="F22" s="78">
        <f>SUM(BM18A!E92:E113)</f>
        <v>712</v>
      </c>
    </row>
    <row r="23" spans="1:6" ht="17.25" customHeight="1" x14ac:dyDescent="0.2">
      <c r="A23" s="99"/>
      <c r="B23" s="314" t="s">
        <v>89</v>
      </c>
      <c r="C23" s="315"/>
      <c r="D23" s="80">
        <f t="shared" ref="D23" si="2">SUM(E23:F23)</f>
        <v>14</v>
      </c>
      <c r="E23" s="78">
        <f>SUM(BM18A!D114:D118)</f>
        <v>0</v>
      </c>
      <c r="F23" s="80">
        <f>SUM(BM18A!E114:E118)</f>
        <v>14</v>
      </c>
    </row>
    <row r="24" spans="1:6" ht="17.25" customHeight="1" x14ac:dyDescent="0.2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321"/>
      <c r="B25" s="317"/>
      <c r="C25" s="134" t="s">
        <v>92</v>
      </c>
      <c r="D25" s="80">
        <f>SUM(F25)</f>
        <v>14</v>
      </c>
      <c r="E25" s="100"/>
      <c r="F25" s="93">
        <v>14</v>
      </c>
    </row>
    <row r="26" spans="1:6" ht="17.25" customHeight="1" x14ac:dyDescent="0.2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321"/>
      <c r="B27" s="317"/>
      <c r="C27" s="134" t="s">
        <v>92</v>
      </c>
      <c r="D27" s="80">
        <f t="shared" si="3"/>
        <v>0</v>
      </c>
      <c r="E27" s="92"/>
      <c r="F27" s="93">
        <v>0</v>
      </c>
    </row>
    <row r="28" spans="1:6" ht="17.25" customHeight="1" x14ac:dyDescent="0.2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321"/>
      <c r="B29" s="317"/>
      <c r="C29" s="134" t="s">
        <v>92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321"/>
      <c r="B31" s="317"/>
      <c r="C31" s="134" t="s">
        <v>92</v>
      </c>
      <c r="D31" s="80">
        <f t="shared" si="3"/>
        <v>0</v>
      </c>
      <c r="E31" s="92"/>
      <c r="F31" s="93">
        <v>0</v>
      </c>
    </row>
    <row r="32" spans="1:6" ht="17.25" customHeight="1" x14ac:dyDescent="0.2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92</v>
      </c>
      <c r="D33" s="80">
        <f>SUM(D25+D27+D29+D31)</f>
        <v>14</v>
      </c>
      <c r="E33" s="92"/>
      <c r="F33" s="92"/>
    </row>
    <row r="34" spans="1:6" ht="17.25" customHeight="1" x14ac:dyDescent="0.2">
      <c r="A34" s="321"/>
      <c r="B34" s="318" t="s">
        <v>97</v>
      </c>
      <c r="C34" s="133" t="s">
        <v>91</v>
      </c>
      <c r="D34" s="82">
        <f>SUM(F34)</f>
        <v>0</v>
      </c>
      <c r="E34" s="94"/>
      <c r="F34" s="95">
        <v>0</v>
      </c>
    </row>
    <row r="35" spans="1:6" ht="17.25" customHeight="1" x14ac:dyDescent="0.2">
      <c r="A35" s="321"/>
      <c r="B35" s="317"/>
      <c r="C35" s="134" t="s">
        <v>92</v>
      </c>
      <c r="D35" s="81">
        <f>SUM(F35)</f>
        <v>0</v>
      </c>
      <c r="E35" s="92"/>
      <c r="F35" s="93">
        <v>0</v>
      </c>
    </row>
    <row r="36" spans="1:6" ht="17.25" customHeight="1" x14ac:dyDescent="0.2">
      <c r="A36" s="321"/>
      <c r="B36" s="318" t="s">
        <v>98</v>
      </c>
      <c r="C36" s="133" t="s">
        <v>91</v>
      </c>
      <c r="D36" s="82">
        <f>SUM(F36)</f>
        <v>0</v>
      </c>
      <c r="E36" s="146"/>
      <c r="F36" s="95">
        <v>0</v>
      </c>
    </row>
    <row r="37" spans="1:6" ht="17.25" customHeight="1" x14ac:dyDescent="0.2">
      <c r="A37" s="322"/>
      <c r="B37" s="317"/>
      <c r="C37" s="134" t="s">
        <v>92</v>
      </c>
      <c r="D37" s="81">
        <f>SUM(F37)</f>
        <v>0</v>
      </c>
      <c r="E37" s="96"/>
      <c r="F37" s="97">
        <v>0</v>
      </c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 x14ac:dyDescent="0.2">
      <c r="A41" s="293"/>
      <c r="B41" s="294"/>
      <c r="C41" s="322" t="s">
        <v>70</v>
      </c>
      <c r="D41" s="293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88</v>
      </c>
      <c r="C43" s="83">
        <f>BM18A!D158</f>
        <v>0</v>
      </c>
      <c r="D43" s="83">
        <f>BM18A!E158</f>
        <v>88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5</v>
      </c>
      <c r="C45" s="79">
        <f>SUM(BM18A!D132:D139)</f>
        <v>0</v>
      </c>
      <c r="D45" s="79">
        <f>SUM(BM18A!E132:E139)</f>
        <v>5</v>
      </c>
    </row>
    <row r="46" spans="1:6" ht="16.5" customHeight="1" x14ac:dyDescent="0.2">
      <c r="A46" s="90" t="s">
        <v>105</v>
      </c>
      <c r="B46" s="79">
        <f t="shared" si="4"/>
        <v>385</v>
      </c>
      <c r="C46" s="83">
        <f>BM18A!D148</f>
        <v>0</v>
      </c>
      <c r="D46" s="83">
        <f>BM18A!E148</f>
        <v>385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2</v>
      </c>
      <c r="C48" s="83">
        <f>BM18A!D169</f>
        <v>0</v>
      </c>
      <c r="D48" s="83">
        <f>BM18A!E169</f>
        <v>2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138</v>
      </c>
      <c r="C50" s="79">
        <f>BM18A!D177</f>
        <v>0</v>
      </c>
      <c r="D50" s="79">
        <f>BM18A!E177</f>
        <v>138</v>
      </c>
    </row>
    <row r="51" spans="1:4" ht="16.5" customHeight="1" x14ac:dyDescent="0.2">
      <c r="A51" s="223" t="s">
        <v>110</v>
      </c>
      <c r="B51" s="90">
        <f t="shared" si="4"/>
        <v>1953</v>
      </c>
      <c r="C51" s="81">
        <f>BM18A!D206</f>
        <v>0</v>
      </c>
      <c r="D51" s="81">
        <f>BM18A!E206</f>
        <v>1953</v>
      </c>
    </row>
    <row r="52" spans="1:4" ht="17.25" customHeight="1" x14ac:dyDescent="0.2">
      <c r="A52" s="91" t="s">
        <v>67</v>
      </c>
      <c r="B52" s="77">
        <f>SUM(B42:B51)</f>
        <v>2571</v>
      </c>
      <c r="C52" s="77">
        <f>SUM(C42:C51)</f>
        <v>0</v>
      </c>
      <c r="D52" s="77">
        <f>SUM(D42:D51)</f>
        <v>2571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02" t="s">
        <v>112</v>
      </c>
      <c r="B55" s="300" t="s">
        <v>67</v>
      </c>
    </row>
    <row r="56" spans="1:4" x14ac:dyDescent="0.2">
      <c r="A56" s="303"/>
      <c r="B56" s="30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 x14ac:dyDescent="0.2">
      <c r="A60" s="295" t="s">
        <v>118</v>
      </c>
      <c r="B60" s="208" t="s">
        <v>119</v>
      </c>
      <c r="C60" s="87">
        <v>0</v>
      </c>
      <c r="D60" s="84">
        <v>0</v>
      </c>
    </row>
    <row r="61" spans="1:4" ht="16.5" customHeight="1" x14ac:dyDescent="0.2">
      <c r="A61" s="296"/>
      <c r="B61" s="12" t="s">
        <v>120</v>
      </c>
      <c r="C61" s="88"/>
      <c r="D61" s="85"/>
    </row>
    <row r="62" spans="1:4" ht="16.5" customHeight="1" x14ac:dyDescent="0.2">
      <c r="A62" s="297"/>
      <c r="B62" s="13" t="s">
        <v>121</v>
      </c>
      <c r="C62" s="89"/>
      <c r="D62" s="86"/>
    </row>
    <row r="96" spans="1:1" hidden="1" x14ac:dyDescent="0.2">
      <c r="A96" s="215">
        <f>SUM(D13:D37,B42:B52,B57,C60:C62)</f>
        <v>6654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B167" zoomScale="80" zoomScaleNormal="80" workbookViewId="0">
      <selection activeCell="B175" sqref="B175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PEDRO DE VALDIVIA  ( 121347 )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DICIEMBRE  ( 12 )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124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>
        <v>0</v>
      </c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>
        <v>0</v>
      </c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>
        <v>0</v>
      </c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>
        <v>0</v>
      </c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>
        <v>0</v>
      </c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>
        <v>0</v>
      </c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>
        <v>0</v>
      </c>
      <c r="F19" s="65"/>
    </row>
    <row r="20" spans="1:6" ht="15" customHeight="1" x14ac:dyDescent="0.2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139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>
        <v>0</v>
      </c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>
        <v>0</v>
      </c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>
        <v>0</v>
      </c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>
        <v>0</v>
      </c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>
        <v>0</v>
      </c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>
        <v>0</v>
      </c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>
        <v>0</v>
      </c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>
        <v>0</v>
      </c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>
        <v>0</v>
      </c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>
        <v>0</v>
      </c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>
        <v>0</v>
      </c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>
        <v>0</v>
      </c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>
        <v>0</v>
      </c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>
        <v>0</v>
      </c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>
        <v>0</v>
      </c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>
        <v>0</v>
      </c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>
        <v>0</v>
      </c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>
        <v>0</v>
      </c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>
        <v>0</v>
      </c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>
        <v>0</v>
      </c>
      <c r="F42" s="65"/>
    </row>
    <row r="43" spans="1:6" ht="15" customHeight="1" x14ac:dyDescent="0.2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180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>
        <v>0</v>
      </c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>
        <v>0</v>
      </c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>
        <v>0</v>
      </c>
      <c r="F48" s="65"/>
    </row>
    <row r="49" spans="1:6" ht="15" customHeight="1" x14ac:dyDescent="0.2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79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>
        <v>0</v>
      </c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>
        <v>0</v>
      </c>
      <c r="F53" s="65"/>
    </row>
    <row r="54" spans="1:6" ht="15" customHeight="1" x14ac:dyDescent="0.2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81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>
        <v>0</v>
      </c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>
        <v>0</v>
      </c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>
        <v>0</v>
      </c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>
        <v>0</v>
      </c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>
        <v>0</v>
      </c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>
        <v>0</v>
      </c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>
        <v>0</v>
      </c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>
        <v>0</v>
      </c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>
        <v>0</v>
      </c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>
        <v>0</v>
      </c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>
        <v>0</v>
      </c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>
        <v>0</v>
      </c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>
        <v>0</v>
      </c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>
        <v>0</v>
      </c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>
        <v>0</v>
      </c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>
        <v>0</v>
      </c>
      <c r="F72" s="67"/>
    </row>
    <row r="73" spans="1:6" ht="15" customHeight="1" x14ac:dyDescent="0.2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223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>
        <v>0</v>
      </c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>
        <v>0</v>
      </c>
      <c r="F77" s="65"/>
    </row>
    <row r="78" spans="1:6" ht="15" customHeight="1" x14ac:dyDescent="0.2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>
        <v>0</v>
      </c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>
        <v>0</v>
      </c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16</v>
      </c>
      <c r="D83" s="65"/>
      <c r="E83" s="114">
        <v>16</v>
      </c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>
        <v>0</v>
      </c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>
        <v>0</v>
      </c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>
        <v>0</v>
      </c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>
        <v>0</v>
      </c>
      <c r="F87" s="65"/>
    </row>
    <row r="88" spans="1:6" ht="15" customHeight="1" x14ac:dyDescent="0.2">
      <c r="A88" s="334" t="s">
        <v>67</v>
      </c>
      <c r="B88" s="336"/>
      <c r="C88" s="160">
        <f>SUM(C81:C87)</f>
        <v>16</v>
      </c>
      <c r="D88" s="156">
        <f>SUM(D81:D87)</f>
        <v>0</v>
      </c>
      <c r="E88" s="157">
        <f>SUM(E81:E87)</f>
        <v>16</v>
      </c>
      <c r="F88" s="156">
        <f>SUM(F81:F87)</f>
        <v>0</v>
      </c>
    </row>
    <row r="89" spans="1:6" ht="15" customHeight="1" x14ac:dyDescent="0.2">
      <c r="A89" s="334" t="s">
        <v>243</v>
      </c>
      <c r="B89" s="336"/>
      <c r="C89" s="160">
        <f>+C20+C43+C49+C54+C73+C78+C88</f>
        <v>16</v>
      </c>
      <c r="D89" s="156">
        <f>+D20+D43+D49+D54+D73+D78+D88</f>
        <v>0</v>
      </c>
      <c r="E89" s="157">
        <f>+E20+E43+E49+E54+E73+E78+E88</f>
        <v>16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244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>
        <v>0</v>
      </c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>
        <v>0</v>
      </c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1</v>
      </c>
      <c r="D94" s="65"/>
      <c r="E94" s="114">
        <v>1</v>
      </c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119</v>
      </c>
      <c r="D95" s="65"/>
      <c r="E95" s="114">
        <v>119</v>
      </c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>
        <v>0</v>
      </c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>
        <v>0</v>
      </c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>
        <v>0</v>
      </c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25</v>
      </c>
      <c r="D99" s="65"/>
      <c r="E99" s="114">
        <v>25</v>
      </c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1</v>
      </c>
      <c r="D100" s="65"/>
      <c r="E100" s="114">
        <v>1</v>
      </c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>
        <v>0</v>
      </c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36</v>
      </c>
      <c r="D102" s="65"/>
      <c r="E102" s="114">
        <v>36</v>
      </c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80</v>
      </c>
      <c r="D103" s="65"/>
      <c r="E103" s="114">
        <v>80</v>
      </c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>
        <v>0</v>
      </c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3</v>
      </c>
      <c r="D105" s="65"/>
      <c r="E105" s="114">
        <v>3</v>
      </c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>
        <v>0</v>
      </c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80</v>
      </c>
      <c r="D107" s="65"/>
      <c r="E107" s="114">
        <v>80</v>
      </c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>
        <v>0</v>
      </c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14</v>
      </c>
      <c r="D109" s="65"/>
      <c r="E109" s="114">
        <v>14</v>
      </c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5</v>
      </c>
      <c r="D110" s="65"/>
      <c r="E110" s="114">
        <v>5</v>
      </c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143</v>
      </c>
      <c r="D111" s="65"/>
      <c r="E111" s="114">
        <v>143</v>
      </c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2</v>
      </c>
      <c r="D112" s="65"/>
      <c r="E112" s="114">
        <v>2</v>
      </c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203</v>
      </c>
      <c r="D113" s="65"/>
      <c r="E113" s="114">
        <v>203</v>
      </c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14</v>
      </c>
      <c r="D114" s="65"/>
      <c r="E114" s="114">
        <v>14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>
        <v>0</v>
      </c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>
        <v>0</v>
      </c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>
        <v>0</v>
      </c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>
        <v>0</v>
      </c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299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300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>
        <v>0</v>
      </c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>
        <v>0</v>
      </c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>
        <v>0</v>
      </c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>
        <v>0</v>
      </c>
      <c r="F127" s="246"/>
    </row>
    <row r="128" spans="1:6" ht="15" customHeight="1" x14ac:dyDescent="0.2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305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>
        <v>0</v>
      </c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>
        <v>0</v>
      </c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>
        <v>0</v>
      </c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1</v>
      </c>
      <c r="D134" s="189"/>
      <c r="E134" s="255">
        <v>1</v>
      </c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4</v>
      </c>
      <c r="D135" s="189"/>
      <c r="E135" s="255">
        <v>4</v>
      </c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>
        <v>0</v>
      </c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>
        <v>0</v>
      </c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>
        <v>0</v>
      </c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>
        <v>0</v>
      </c>
      <c r="F139" s="251"/>
    </row>
    <row r="140" spans="1:6" ht="15" customHeight="1" x14ac:dyDescent="0.2">
      <c r="A140" s="334" t="s">
        <v>67</v>
      </c>
      <c r="B140" s="336"/>
      <c r="C140" s="72">
        <f>SUM(C131:C139)</f>
        <v>5</v>
      </c>
      <c r="D140" s="72">
        <f t="shared" ref="D140:F140" si="15">SUM(D131:D139)</f>
        <v>0</v>
      </c>
      <c r="E140" s="256">
        <f t="shared" si="15"/>
        <v>5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315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214</v>
      </c>
      <c r="D143" s="194"/>
      <c r="E143" s="247">
        <v>214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>
        <v>0</v>
      </c>
      <c r="F144" s="250"/>
    </row>
    <row r="145" spans="1:6" ht="15" customHeight="1" x14ac:dyDescent="0.2">
      <c r="A145" s="60"/>
      <c r="B145" s="129" t="s">
        <v>320</v>
      </c>
      <c r="C145" s="73">
        <f>SUM(D145:E145)</f>
        <v>171</v>
      </c>
      <c r="D145" s="196"/>
      <c r="E145" s="261">
        <v>171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>
        <v>0</v>
      </c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>
        <v>0</v>
      </c>
      <c r="F147" s="258"/>
    </row>
    <row r="148" spans="1:6" ht="15" customHeight="1" x14ac:dyDescent="0.2">
      <c r="A148" s="334" t="s">
        <v>67</v>
      </c>
      <c r="B148" s="336"/>
      <c r="C148" s="159">
        <f>SUM(C143:C147)</f>
        <v>385</v>
      </c>
      <c r="D148" s="159">
        <f t="shared" ref="D148" si="16">SUM(D143:D147)</f>
        <v>0</v>
      </c>
      <c r="E148" s="263">
        <f>SUM(E143:E147)</f>
        <v>385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323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21</v>
      </c>
      <c r="D151" s="237"/>
      <c r="E151" s="113">
        <v>21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>
        <v>0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>
        <v>0</v>
      </c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67</v>
      </c>
      <c r="D154" s="214"/>
      <c r="E154" s="115">
        <v>67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>
        <v>0</v>
      </c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/>
      <c r="E156" s="255">
        <v>0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/>
      <c r="E157" s="262">
        <v>0</v>
      </c>
      <c r="F157" s="258"/>
    </row>
    <row r="158" spans="1:6" ht="15" customHeight="1" x14ac:dyDescent="0.2">
      <c r="A158" s="334" t="s">
        <v>67</v>
      </c>
      <c r="B158" s="336"/>
      <c r="C158" s="72">
        <f>SUM(C151:C157)</f>
        <v>88</v>
      </c>
      <c r="D158" s="212">
        <f t="shared" ref="D158:F158" si="18">SUM(D151:D157)</f>
        <v>0</v>
      </c>
      <c r="E158" s="256">
        <f t="shared" si="18"/>
        <v>88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334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>
        <v>0</v>
      </c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>
        <v>0</v>
      </c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>
        <v>0</v>
      </c>
      <c r="F163" s="265"/>
    </row>
    <row r="164" spans="1:6" ht="15" customHeight="1" x14ac:dyDescent="0.2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339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340</v>
      </c>
      <c r="C167" s="241">
        <f>SUM(D167:E167)</f>
        <v>2</v>
      </c>
      <c r="D167" s="240"/>
      <c r="E167" s="266">
        <v>2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>
        <v>0</v>
      </c>
      <c r="F168" s="265"/>
    </row>
    <row r="169" spans="1:6" ht="15" customHeight="1" x14ac:dyDescent="0.2">
      <c r="A169" s="334" t="s">
        <v>67</v>
      </c>
      <c r="B169" s="336"/>
      <c r="C169" s="155">
        <f>SUM(C167:C168)</f>
        <v>2</v>
      </c>
      <c r="D169" s="228">
        <f>SUM(D167:D168)</f>
        <v>0</v>
      </c>
      <c r="E169" s="268">
        <f>SUM(E167:E168)</f>
        <v>2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342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18</v>
      </c>
      <c r="D172" s="242"/>
      <c r="E172" s="113">
        <v>18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15</v>
      </c>
      <c r="D173" s="65"/>
      <c r="E173" s="114">
        <v>15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7</v>
      </c>
      <c r="D174" s="65"/>
      <c r="E174" s="114">
        <v>7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13</v>
      </c>
      <c r="D175" s="65"/>
      <c r="E175" s="114">
        <v>13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85</v>
      </c>
      <c r="D176" s="201"/>
      <c r="E176" s="270">
        <v>85</v>
      </c>
      <c r="F176" s="246"/>
    </row>
    <row r="177" spans="1:6" ht="15" customHeight="1" x14ac:dyDescent="0.2">
      <c r="A177" s="334" t="s">
        <v>67</v>
      </c>
      <c r="B177" s="336"/>
      <c r="C177" s="155">
        <f>SUM(C172:C176)</f>
        <v>138</v>
      </c>
      <c r="D177" s="155">
        <f t="shared" ref="D177:E177" si="20">SUM(D172:D176)</f>
        <v>0</v>
      </c>
      <c r="E177" s="271">
        <f t="shared" si="20"/>
        <v>138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348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110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29</v>
      </c>
      <c r="D189" s="225">
        <v>0</v>
      </c>
      <c r="E189" s="266">
        <v>29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>
        <v>0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269</v>
      </c>
      <c r="D191" s="210">
        <v>0</v>
      </c>
      <c r="E191" s="255">
        <v>269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55</v>
      </c>
      <c r="D192" s="210">
        <v>0</v>
      </c>
      <c r="E192" s="255">
        <v>55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28</v>
      </c>
      <c r="D193" s="210">
        <v>0</v>
      </c>
      <c r="E193" s="255">
        <v>28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16</v>
      </c>
      <c r="D194" s="226">
        <v>0</v>
      </c>
      <c r="E194" s="277">
        <v>16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257</v>
      </c>
      <c r="D195" s="210">
        <v>0</v>
      </c>
      <c r="E195" s="255">
        <v>257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>
        <v>0</v>
      </c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>
        <v>0</v>
      </c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0</v>
      </c>
      <c r="D198" s="210">
        <v>0</v>
      </c>
      <c r="E198" s="255">
        <v>0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>
        <v>0</v>
      </c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>
        <v>0</v>
      </c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1</v>
      </c>
      <c r="D201" s="210">
        <v>0</v>
      </c>
      <c r="E201" s="255">
        <v>1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492</v>
      </c>
      <c r="D202" s="210">
        <v>0</v>
      </c>
      <c r="E202" s="255">
        <v>492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24</v>
      </c>
      <c r="D203" s="210">
        <v>0</v>
      </c>
      <c r="E203" s="255">
        <v>24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748</v>
      </c>
      <c r="D204" s="210">
        <v>0</v>
      </c>
      <c r="E204" s="255">
        <v>748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34</v>
      </c>
      <c r="D205" s="211"/>
      <c r="E205" s="255">
        <v>34</v>
      </c>
      <c r="F205" s="258"/>
    </row>
    <row r="206" spans="1:6" ht="15" customHeight="1" x14ac:dyDescent="0.2">
      <c r="A206" s="334" t="s">
        <v>67</v>
      </c>
      <c r="B206" s="336"/>
      <c r="C206" s="72">
        <f>SUM(C189:C205)</f>
        <v>1953</v>
      </c>
      <c r="D206" s="212">
        <f t="shared" ref="D206:F206" si="24">SUM(D189:D205)</f>
        <v>0</v>
      </c>
      <c r="E206" s="256">
        <f t="shared" si="24"/>
        <v>1953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C23" sqref="C23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DICIEMBRE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Carol Figueroa</cp:lastModifiedBy>
  <cp:revision/>
  <dcterms:created xsi:type="dcterms:W3CDTF">2007-01-29T23:37:08Z</dcterms:created>
  <dcterms:modified xsi:type="dcterms:W3CDTF">2026-01-07T17:49:40Z</dcterms:modified>
  <cp:category/>
  <cp:contentStatus/>
</cp:coreProperties>
</file>