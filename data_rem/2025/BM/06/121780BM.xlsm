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0730EB3F-75F1-03CD-C966-41DC9FD4AD36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magaly.anguita\Desktop\Mi Compartida ALEJANDRA\REM 2025\SALAR\JUNIO\"/>
    </mc:Choice>
  </mc:AlternateContent>
  <xr:revisionPtr revIDLastSave="0" documentId="13_ncr:1_{DE33665A-777C-4F6A-87BA-BC224BB022A8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720" tabRatio="765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6" i="19" l="1"/>
  <c r="C26" i="19"/>
  <c r="C70" i="19"/>
  <c r="C71" i="19"/>
  <c r="C68" i="19"/>
  <c r="C63" i="19"/>
  <c r="C25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<sst xmlns="http://schemas.openxmlformats.org/spreadsheetml/2006/main" count="452" uniqueCount="397">
  <si>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</si>
  <si>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</si>
  <si>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</si>
  <si>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NOMBRE ESTABLECIMIENTO/ESTRATEGIA</t>
  </si>
  <si>
    <t>MES:</t>
  </si>
  <si>
    <t>AÑO:</t>
  </si>
  <si>
    <t xml:space="preserve"> </t>
  </si>
  <si>
    <t>Director/a Servicio de Salud o Director/a Establecimiento</t>
  </si>
  <si>
    <t>ENERO</t>
  </si>
  <si>
    <t>Establecimiento de Mayor Complejidad (EMAYC)</t>
  </si>
  <si>
    <t>SERVICIO DE SALUD</t>
  </si>
  <si>
    <t>Jefe/a de Estadísticas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</si>
  <si>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</si>
  <si>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</si>
  <si>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</si>
  <si>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</si>
  <si>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</si>
  <si>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</si>
  <si>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</si>
  <si>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</si>
  <si>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</si>
  <si>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</si>
  <si>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</si>
  <si>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</si>
  <si>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</si>
  <si>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</si>
  <si>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</si>
  <si>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</si>
  <si>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</si>
  <si>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</si>
  <si>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</si>
  <si>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</si>
  <si>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</si>
  <si>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</si>
  <si>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</si>
  <si>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</si>
  <si>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</si>
  <si>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</si>
  <si>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</si>
  <si>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</si>
  <si>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</si>
  <si>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</si>
  <si>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</si>
  <si>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</si>
  <si>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</si>
  <si>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</si>
  <si>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</si>
  <si>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</si>
  <si>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</si>
  <si>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</si>
  <si>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</si>
  <si>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</si>
  <si>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</si>
  <si>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</si>
  <si>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</si>
  <si>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</si>
  <si>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</si>
  <si>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</si>
  <si>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</si>
  <si>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</si>
  <si>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</si>
  <si>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</si>
  <si>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</si>
  <si>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</si>
  <si>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</si>
  <si>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</si>
  <si>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</si>
  <si>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</si>
  <si>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</si>
  <si>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</si>
  <si>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</si>
  <si>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</si>
  <si>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</si>
  <si>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</si>
  <si>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</si>
  <si>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</si>
  <si>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</si>
  <si>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</si>
  <si>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</si>
  <si>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</si>
  <si>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</si>
  <si>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</si>
  <si>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</si>
  <si>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</si>
  <si>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</si>
  <si>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</si>
  <si>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</si>
  <si>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</si>
  <si>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</si>
  <si>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</si>
  <si>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</si>
  <si>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</si>
  <si>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</si>
  <si>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</si>
  <si>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</si>
  <si>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</si>
  <si>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</si>
  <si>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</si>
  <si>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</si>
  <si>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</si>
  <si>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</si>
  <si>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</si>
  <si>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</si>
  <si>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</si>
  <si>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</si>
  <si>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</si>
  <si>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</si>
  <si>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</si>
  <si>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</si>
  <si>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</si>
  <si>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</si>
  <si>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</si>
  <si>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</si>
  <si>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</si>
  <si>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</si>
  <si>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</si>
  <si>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</si>
  <si>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</si>
  <si>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</si>
  <si>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</si>
  <si>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</si>
  <si>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</si>
  <si>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</si>
  <si>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</si>
  <si>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</si>
  <si>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</si>
  <si>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</si>
  <si>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</si>
  <si>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</si>
  <si>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</si>
  <si>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</si>
  <si>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</si>
  <si>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</si>
  <si>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</si>
  <si>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</si>
  <si>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</si>
  <si>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</si>
  <si>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</si>
  <si>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</si>
  <si>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</si>
  <si>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</si>
  <si>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</si>
  <si>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</si>
  <si>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</si>
  <si>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</si>
  <si>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</si>
  <si>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</si>
  <si>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</si>
  <si>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</si>
  <si>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</si>
  <si>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</si>
  <si>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</si>
  <si>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</si>
  <si>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</si>
  <si>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</si>
  <si>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</si>
  <si>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</si>
  <si>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</si>
  <si>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</si>
  <si>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</si>
  <si>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</si>
  <si>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</si>
  <si>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</si>
  <si>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</si>
  <si>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</si>
  <si>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</si>
  <si>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</si>
  <si>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</si>
  <si>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</si>
  <si>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</si>
  <si>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</si>
  <si>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</si>
  <si>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</si>
  <si>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</si>
  <si>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</si>
  <si>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</si>
  <si>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</si>
  <si>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</si>
  <si>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</si>
  <si>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</si>
  <si>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</si>
  <si>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</si>
  <si>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</si>
  <si>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</si>
  <si>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</si>
  <si>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</si>
  <si>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</si>
  <si>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</si>
  <si>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</si>
  <si>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</si>
  <si>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</si>
  <si>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</si>
  <si>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</si>
  <si>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</si>
  <si>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</si>
  <si>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0306059</t>
  </si>
  <si>
    <t>Coproparasitológico seriado simple (incluye diagnóstico de gusanos macroscópicos y examen microscópico por concentración de tres muestras separadas método PAFS (proc. aut.)</t>
  </si>
  <si>
    <t>0306081</t>
  </si>
  <si>
    <t>Virus hepatitis C, anticuerpos de (anti HCV)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</si>
  <si>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</si>
  <si>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</si>
  <si>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</si>
  <si>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</si>
  <si>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</si>
  <si>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</si>
  <si>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</si>
  <si>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</si>
  <si>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</si>
  <si>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</si>
  <si>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</si>
  <si>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</si>
  <si>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</si>
  <si>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</si>
  <si>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</si>
  <si>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</si>
  <si>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</si>
  <si>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</si>
  <si>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</si>
  <si>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</si>
  <si>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</si>
  <si>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</si>
  <si>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</si>
  <si>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</si>
  <si>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</si>
  <si>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</si>
  <si>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</si>
  <si>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</si>
  <si>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</si>
  <si>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</si>
  <si>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</si>
  <si>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</si>
  <si>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</si>
  <si>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</si>
  <si>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</si>
  <si>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</si>
  <si>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</si>
  <si>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</si>
  <si>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</si>
  <si>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</si>
  <si>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</si>
  <si>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</si>
  <si>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</si>
  <si>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</si>
  <si>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</si>
  <si>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</si>
  <si>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</si>
  <si>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</si>
  <si>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</si>
  <si>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</si>
  <si>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</si>
  <si>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</si>
  <si>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</si>
  <si>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</si>
  <si>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</si>
  <si>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</si>
  <si>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</si>
  <si>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</si>
  <si>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</si>
  <si>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</si>
  <si>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</si>
  <si>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</si>
  <si>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</si>
  <si>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</si>
  <si>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</si>
  <si>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</si>
  <si>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</si>
  <si>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</si>
  <si>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</si>
  <si>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</si>
  <si>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</si>
  <si>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</si>
  <si>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</si>
  <si>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</si>
  <si>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</si>
  <si>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</si>
  <si>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</si>
  <si>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</si>
  <si>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</si>
  <si>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</si>
  <si>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</si>
  <si>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</si>
  <si>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</si>
  <si>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</si>
  <si>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</si>
  <si>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</si>
  <si>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</si>
  <si>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</si>
  <si>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</si>
  <si>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</si>
  <si>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</si>
  <si>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</si>
  <si>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</si>
  <si>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</si>
  <si>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</si>
  <si>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</si>
  <si>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</si>
  <si>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</si>
  <si>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</si>
  <si>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</si>
  <si>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</si>
  <si>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</si>
  <si>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</si>
  <si>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</si>
  <si>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</si>
  <si>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</si>
  <si>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</si>
  <si>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</si>
  <si>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</si>
  <si>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</si>
  <si>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</si>
  <si>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</si>
  <si>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</si>
  <si>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</si>
  <si>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</si>
  <si>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</si>
  <si>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</si>
  <si>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</si>
  <si>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</si>
  <si>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</si>
  <si>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</si>
  <si>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</si>
  <si>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</si>
  <si>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</si>
  <si>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</si>
  <si>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</si>
  <si>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</si>
  <si>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</si>
  <si>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</si>
  <si>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</si>
  <si>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</si>
  <si>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</si>
  <si>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</si>
  <si>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</si>
  <si>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</si>
  <si>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0106008</t>
  </si>
  <si>
    <t>Extracción cuerpo extraño ojo</t>
  </si>
  <si>
    <t>0106010</t>
  </si>
  <si>
    <t>Extracción cuerpo extraño otro lugar</t>
  </si>
  <si>
    <t>0106011</t>
  </si>
  <si>
    <t>Lavado oído</t>
  </si>
  <si>
    <t>0106012</t>
  </si>
  <si>
    <t>Técnicas reanimación cardiopulmonar básico</t>
  </si>
  <si>
    <t>0106013</t>
  </si>
  <si>
    <t>Técnicas reanimación cardiopulmonar avanzado</t>
  </si>
  <si>
    <t>0106014</t>
  </si>
  <si>
    <t>Aseo ocular</t>
  </si>
  <si>
    <t>0106015</t>
  </si>
  <si>
    <t>Administración inyecciones</t>
  </si>
  <si>
    <t>0307011</t>
  </si>
  <si>
    <t>Administración fleboclisis</t>
  </si>
  <si>
    <t>0307012</t>
  </si>
  <si>
    <t>Toma de muestra de sangre venosa en adultos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</si>
  <si>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</si>
  <si>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</si>
  <si>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</si>
  <si>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</si>
  <si>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</si>
  <si>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</si>
  <si>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</si>
  <si>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</si>
  <si>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</si>
  <si>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</si>
  <si>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</si>
  <si>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</si>
  <si>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</si>
  <si>
    <t>TODAS LAS SECCIONES</t>
  </si>
  <si>
    <t>BM18</t>
  </si>
  <si>
    <t>SECCIÓN B:  PROCEDIMIENTO E INTERVENCIONES QUIRÚRGICAS DE APOYO CLÍNICO Y TERAPÉUTICO</t>
  </si>
  <si>
    <t>SECCIÓN B: PROCEDIMIENTOS E INTERVENCIONES QUIRÚRGICAS DE APOYO CLÍNICO Y TERAPÉUTICO</t>
  </si>
  <si>
    <t>DERMATOLOGÍA, TEGUMENTOS E INTERVENCIONES QUIRÚRGICAS MENORES</t>
  </si>
  <si>
    <t>Monitoreo continuo de presión arterial (Holter)</t>
  </si>
  <si>
    <t>Monitoreo Ambulatorio de Presión Arterial (procedimiento de 3 evaluaciones de presión arterial finalizado)</t>
  </si>
  <si>
    <t>0301059</t>
  </si>
  <si>
    <t>Tiempo de protrombina (incluye INR, Razón Internacional Normalizada)</t>
  </si>
  <si>
    <t>0302077</t>
  </si>
  <si>
    <t>Vitamina B12 por inmunoensayo</t>
  </si>
  <si>
    <t>Versión 1.2 Marzo 2025</t>
  </si>
  <si>
    <t>0106007</t>
  </si>
  <si>
    <t>0302067</t>
  </si>
  <si>
    <t>Colesterol total (proc. aut.)</t>
  </si>
  <si>
    <t>0302068</t>
  </si>
  <si>
    <t>Colesterol HDL (proc. aut.)</t>
  </si>
  <si>
    <t>0302075</t>
  </si>
  <si>
    <t>Perfil bioquímico (determinación automatizada de 12 parámetros)</t>
  </si>
  <si>
    <t>EXÁMENES DE DEPOSICIONES, EXUDADOS, SECRECIONES Y OTROS LÍQUIDOS</t>
  </si>
  <si>
    <t>Antibiograma Corriente (mínimo 10 fármacos) (en caso de urocultivo no corresponde su cobro; incluido en el valor 03-06-011)</t>
  </si>
  <si>
    <t>0306026</t>
  </si>
  <si>
    <t>Coproparasitológico seriado simple (incluye diagnóstico de gusanos macroscópicos y examen microscópico por concentración de tres muestras separadas método Telemann ) (proc. aut.)</t>
  </si>
  <si>
    <t>0306048</t>
  </si>
  <si>
    <t>0306169</t>
  </si>
  <si>
    <t>Anticuerpos virales, determ. de H.I.V.</t>
  </si>
  <si>
    <t xml:space="preserve">VIH, anticuerpos y antígenos virales, determ. de H.I.V. </t>
  </si>
  <si>
    <t>0306112</t>
  </si>
  <si>
    <t>TEMUCO</t>
  </si>
  <si>
    <t>EVELYN SOTO SAAVEDRA</t>
  </si>
  <si>
    <t>JAVIERA AGUIRRE HUECHUCURA</t>
  </si>
  <si>
    <t>CENTRO COMUNITARIO DE SALUD FAMILIAR VILLA EL SALAR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</si>
</sst>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8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6" xfId="125" applyFont="1" applyBorder="1" applyAlignment="1">
      <alignment horizontal="center" vertical="center"/>
    </xf>
    <xf numFmtId="0" fontId="12" fillId="0" borderId="35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0" xfId="125" quotePrefix="1" applyFont="1" applyAlignment="1">
      <alignment horizontal="center" vertical="center" wrapText="1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tabSelected="1" zoomScaleNormal="100" workbookViewId="0">
      <selection activeCell="I7" sqref="I7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393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3</v>
      </c>
      <c r="B3" s="106" t="s">
        <v>396</v>
      </c>
      <c r="C3" s="37">
        <v>1</v>
      </c>
      <c r="D3" s="38">
        <v>2</v>
      </c>
      <c r="E3" s="38">
        <v>1</v>
      </c>
      <c r="F3" s="38">
        <v>7</v>
      </c>
      <c r="G3" s="38">
        <v>8</v>
      </c>
      <c r="H3" s="39">
        <v>0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4</v>
      </c>
      <c r="B6" s="170" t="s">
        <v>23</v>
      </c>
      <c r="C6" s="171">
        <v>0</v>
      </c>
      <c r="D6" s="172">
        <v>6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5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6</v>
      </c>
    </row>
    <row r="9" spans="1:33" ht="24" customHeight="1" x14ac:dyDescent="0.15">
      <c r="A9" s="290" t="s">
        <v>376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7</v>
      </c>
      <c r="B11" s="7" t="s">
        <v>395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8</v>
      </c>
      <c r="AB11" s="35" t="s">
        <v>9</v>
      </c>
      <c r="AC11" s="108" t="s">
        <v>10</v>
      </c>
    </row>
    <row r="12" spans="1:33" ht="21" customHeight="1" x14ac:dyDescent="0.2">
      <c r="A12" s="152" t="s">
        <v>11</v>
      </c>
      <c r="B12" s="7" t="s">
        <v>394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12</v>
      </c>
      <c r="AB12" s="35" t="s">
        <v>13</v>
      </c>
      <c r="AC12" s="108" t="s">
        <v>14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15</v>
      </c>
      <c r="AB13" s="35" t="s">
        <v>16</v>
      </c>
      <c r="AC13" s="108" t="s">
        <v>17</v>
      </c>
    </row>
    <row r="14" spans="1:33" ht="21" customHeight="1" x14ac:dyDescent="0.15">
      <c r="A14" s="280" t="s">
        <v>18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19</v>
      </c>
      <c r="AB14" s="35" t="s">
        <v>20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21</v>
      </c>
      <c r="AB15" s="35" t="s">
        <v>22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23</v>
      </c>
      <c r="AB16" s="35" t="s">
        <v>24</v>
      </c>
      <c r="AC16" s="109"/>
    </row>
    <row r="17" spans="2:29" ht="21" customHeight="1" x14ac:dyDescent="0.15">
      <c r="B17" s="282" t="s">
        <v>25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26</v>
      </c>
      <c r="AB17" s="35" t="s">
        <v>27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28</v>
      </c>
      <c r="AB18" s="35" t="s">
        <v>29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30</v>
      </c>
      <c r="AB19" s="35" t="s">
        <v>31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32</v>
      </c>
      <c r="AB20" s="35" t="s">
        <v>33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34</v>
      </c>
      <c r="AB21" s="35" t="s">
        <v>35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36</v>
      </c>
      <c r="AB22" s="35" t="s">
        <v>37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38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39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40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41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42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43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44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45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46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47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48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49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50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51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52</v>
      </c>
      <c r="AC37" s="108"/>
    </row>
    <row r="38" spans="14:29" ht="12" customHeight="1" x14ac:dyDescent="0.15">
      <c r="AA38" s="112"/>
      <c r="AB38" s="35" t="s">
        <v>53</v>
      </c>
      <c r="AC38" s="108"/>
    </row>
    <row r="39" spans="14:29" ht="12" customHeight="1" x14ac:dyDescent="0.15">
      <c r="AA39" s="112"/>
      <c r="AB39" s="35" t="s">
        <v>54</v>
      </c>
      <c r="AC39" s="112"/>
    </row>
    <row r="40" spans="14:29" ht="12" customHeight="1" x14ac:dyDescent="0.15">
      <c r="AA40" s="112"/>
      <c r="AB40" s="35" t="s">
        <v>55</v>
      </c>
      <c r="AC40" s="112"/>
    </row>
    <row r="41" spans="14:29" ht="12" customHeight="1" x14ac:dyDescent="0.15">
      <c r="AA41" s="112"/>
      <c r="AB41" s="35" t="s">
        <v>56</v>
      </c>
      <c r="AC41" s="112"/>
    </row>
    <row r="42" spans="14:29" ht="12" customHeight="1" x14ac:dyDescent="0.15">
      <c r="AA42" s="112"/>
      <c r="AB42" s="35" t="s">
        <v>57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43" zoomScale="77" zoomScaleNormal="77" workbookViewId="0">
      <selection activeCell="F27" sqref="F27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58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COMUNITARIO DE SALUD FAMILIAR VILLA EL SALAR  ( 121780 )</v>
      </c>
    </row>
    <row r="4" spans="1:6" x14ac:dyDescent="0.2">
      <c r="A4" s="50" t="str">
        <f>CONCATENATE("MES: ",NOMBRE!B6,"  ","( ",NOMBRE!C6,NOMBRE!D6," )")</f>
        <v>MES: JUNIO  ( 06 )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292" t="s">
        <v>59</v>
      </c>
      <c r="B8" s="292"/>
      <c r="C8" s="292"/>
      <c r="D8" s="292"/>
      <c r="E8" s="292"/>
      <c r="F8" s="292"/>
    </row>
    <row r="9" spans="1:6" s="145" customFormat="1" ht="28.5" customHeight="1" x14ac:dyDescent="0.2">
      <c r="A9" s="292"/>
      <c r="B9" s="292"/>
      <c r="C9" s="292"/>
      <c r="D9" s="292"/>
      <c r="E9" s="292"/>
      <c r="F9" s="292"/>
    </row>
    <row r="10" spans="1:6" ht="26.25" customHeight="1" x14ac:dyDescent="0.2">
      <c r="A10" s="300" t="s">
        <v>60</v>
      </c>
      <c r="B10" s="300"/>
      <c r="C10" s="300"/>
    </row>
    <row r="11" spans="1:6" ht="12.75" customHeight="1" x14ac:dyDescent="0.2">
      <c r="A11" s="303" t="s">
        <v>61</v>
      </c>
      <c r="B11" s="304"/>
      <c r="C11" s="305"/>
      <c r="D11" s="293" t="s">
        <v>62</v>
      </c>
      <c r="E11" s="293" t="s">
        <v>63</v>
      </c>
      <c r="F11" s="296" t="s">
        <v>64</v>
      </c>
    </row>
    <row r="12" spans="1:6" ht="21.75" customHeight="1" x14ac:dyDescent="0.2">
      <c r="A12" s="306"/>
      <c r="B12" s="307"/>
      <c r="C12" s="308"/>
      <c r="D12" s="295"/>
      <c r="E12" s="295" t="s">
        <v>65</v>
      </c>
      <c r="F12" s="297" t="s">
        <v>65</v>
      </c>
    </row>
    <row r="13" spans="1:6" ht="20.25" customHeight="1" x14ac:dyDescent="0.2">
      <c r="A13" s="43" t="s">
        <v>66</v>
      </c>
      <c r="B13" s="298"/>
      <c r="C13" s="299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 x14ac:dyDescent="0.2">
      <c r="A14" s="44" t="s">
        <v>67</v>
      </c>
      <c r="B14" s="311" t="s">
        <v>68</v>
      </c>
      <c r="C14" s="312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69</v>
      </c>
      <c r="B15" s="301" t="s">
        <v>70</v>
      </c>
      <c r="C15" s="302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71</v>
      </c>
      <c r="B16" s="301" t="s">
        <v>72</v>
      </c>
      <c r="C16" s="302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73</v>
      </c>
      <c r="B17" s="301" t="s">
        <v>74</v>
      </c>
      <c r="C17" s="302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75</v>
      </c>
      <c r="B18" s="301" t="s">
        <v>76</v>
      </c>
      <c r="C18" s="302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77</v>
      </c>
      <c r="B19" s="313" t="s">
        <v>78</v>
      </c>
      <c r="C19" s="314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79</v>
      </c>
      <c r="B20" s="317" t="s">
        <v>80</v>
      </c>
      <c r="C20" s="318"/>
      <c r="D20" s="78">
        <f t="shared" si="1"/>
        <v>0</v>
      </c>
      <c r="E20" s="78">
        <f>BM18A!D88</f>
        <v>0</v>
      </c>
      <c r="F20" s="78">
        <f>BM18A!E88</f>
        <v>0</v>
      </c>
    </row>
    <row r="21" spans="1:6" ht="17.25" customHeight="1" x14ac:dyDescent="0.2">
      <c r="A21" s="43" t="s">
        <v>81</v>
      </c>
      <c r="B21" s="298"/>
      <c r="C21" s="299"/>
      <c r="D21" s="77">
        <f>SUM(E21:F21)</f>
        <v>0</v>
      </c>
      <c r="E21" s="77">
        <f>SUM(E22+E23)</f>
        <v>0</v>
      </c>
      <c r="F21" s="77">
        <f>SUM(F22+F23)</f>
        <v>0</v>
      </c>
    </row>
    <row r="22" spans="1:6" ht="17.25" customHeight="1" x14ac:dyDescent="0.2">
      <c r="A22" s="98" t="s">
        <v>82</v>
      </c>
      <c r="B22" s="319" t="s">
        <v>83</v>
      </c>
      <c r="C22" s="320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 x14ac:dyDescent="0.2">
      <c r="A23" s="99"/>
      <c r="B23" s="321" t="s">
        <v>84</v>
      </c>
      <c r="C23" s="322"/>
      <c r="D23" s="80">
        <f t="shared" ref="D23" si="2">SUM(E23:F23)</f>
        <v>0</v>
      </c>
      <c r="E23" s="78">
        <f>SUM(BM18A!D114:D118)</f>
        <v>0</v>
      </c>
      <c r="F23" s="80">
        <f>SUM(BM18A!E114:E118)</f>
        <v>0</v>
      </c>
    </row>
    <row r="24" spans="1:6" ht="17.25" customHeight="1" x14ac:dyDescent="0.2">
      <c r="A24" s="293"/>
      <c r="B24" s="323" t="s">
        <v>85</v>
      </c>
      <c r="C24" s="180" t="s">
        <v>86</v>
      </c>
      <c r="D24" s="78">
        <f>SUM(F24)</f>
        <v>0</v>
      </c>
      <c r="E24" s="179"/>
      <c r="F24" s="101">
        <v>0</v>
      </c>
    </row>
    <row r="25" spans="1:6" ht="17.25" customHeight="1" x14ac:dyDescent="0.2">
      <c r="A25" s="294"/>
      <c r="B25" s="310"/>
      <c r="C25" s="134" t="s">
        <v>87</v>
      </c>
      <c r="D25" s="80">
        <f>SUM(F25)</f>
        <v>0</v>
      </c>
      <c r="E25" s="100"/>
      <c r="F25" s="93">
        <v>0</v>
      </c>
    </row>
    <row r="26" spans="1:6" ht="17.25" customHeight="1" x14ac:dyDescent="0.2">
      <c r="A26" s="294"/>
      <c r="B26" s="309" t="s">
        <v>88</v>
      </c>
      <c r="C26" s="133" t="s">
        <v>86</v>
      </c>
      <c r="D26" s="82">
        <f t="shared" ref="D26:D31" si="3">SUM(F26)</f>
        <v>0</v>
      </c>
      <c r="E26" s="94"/>
      <c r="F26" s="95">
        <v>0</v>
      </c>
    </row>
    <row r="27" spans="1:6" ht="17.25" customHeight="1" x14ac:dyDescent="0.2">
      <c r="A27" s="294"/>
      <c r="B27" s="310"/>
      <c r="C27" s="134" t="s">
        <v>87</v>
      </c>
      <c r="D27" s="80">
        <f t="shared" si="3"/>
        <v>0</v>
      </c>
      <c r="E27" s="92"/>
      <c r="F27" s="93">
        <v>0</v>
      </c>
    </row>
    <row r="28" spans="1:6" ht="17.25" customHeight="1" x14ac:dyDescent="0.2">
      <c r="A28" s="294"/>
      <c r="B28" s="309" t="s">
        <v>89</v>
      </c>
      <c r="C28" s="133" t="s">
        <v>86</v>
      </c>
      <c r="D28" s="82">
        <f t="shared" si="3"/>
        <v>0</v>
      </c>
      <c r="E28" s="94"/>
      <c r="F28" s="95">
        <v>0</v>
      </c>
    </row>
    <row r="29" spans="1:6" ht="17.25" customHeight="1" x14ac:dyDescent="0.2">
      <c r="A29" s="294"/>
      <c r="B29" s="310"/>
      <c r="C29" s="134" t="s">
        <v>87</v>
      </c>
      <c r="D29" s="80">
        <f t="shared" si="3"/>
        <v>0</v>
      </c>
      <c r="E29" s="92"/>
      <c r="F29" s="93">
        <v>0</v>
      </c>
    </row>
    <row r="30" spans="1:6" ht="17.25" customHeight="1" x14ac:dyDescent="0.2">
      <c r="A30" s="294"/>
      <c r="B30" s="309" t="s">
        <v>90</v>
      </c>
      <c r="C30" s="133" t="s">
        <v>86</v>
      </c>
      <c r="D30" s="82">
        <f t="shared" si="3"/>
        <v>0</v>
      </c>
      <c r="E30" s="94"/>
      <c r="F30" s="95">
        <v>0</v>
      </c>
    </row>
    <row r="31" spans="1:6" ht="17.25" customHeight="1" x14ac:dyDescent="0.2">
      <c r="A31" s="294"/>
      <c r="B31" s="310"/>
      <c r="C31" s="134" t="s">
        <v>87</v>
      </c>
      <c r="D31" s="80">
        <f t="shared" si="3"/>
        <v>0</v>
      </c>
      <c r="E31" s="92"/>
      <c r="F31" s="93">
        <v>0</v>
      </c>
    </row>
    <row r="32" spans="1:6" ht="17.25" customHeight="1" x14ac:dyDescent="0.2">
      <c r="A32" s="294"/>
      <c r="B32" s="315" t="s">
        <v>91</v>
      </c>
      <c r="C32" s="133" t="s">
        <v>86</v>
      </c>
      <c r="D32" s="82">
        <f>SUM(D24+D26+D28+D30)</f>
        <v>0</v>
      </c>
      <c r="E32" s="94"/>
      <c r="F32" s="94"/>
    </row>
    <row r="33" spans="1:6" ht="17.25" customHeight="1" x14ac:dyDescent="0.2">
      <c r="A33" s="294"/>
      <c r="B33" s="316"/>
      <c r="C33" s="134" t="s">
        <v>87</v>
      </c>
      <c r="D33" s="80">
        <f>SUM(D25+D27+D29+D31)</f>
        <v>0</v>
      </c>
      <c r="E33" s="92"/>
      <c r="F33" s="92"/>
    </row>
    <row r="34" spans="1:6" ht="17.25" customHeight="1" x14ac:dyDescent="0.2">
      <c r="A34" s="294"/>
      <c r="B34" s="309" t="s">
        <v>92</v>
      </c>
      <c r="C34" s="133" t="s">
        <v>86</v>
      </c>
      <c r="D34" s="82">
        <f>SUM(F34)</f>
        <v>0</v>
      </c>
      <c r="E34" s="94"/>
      <c r="F34" s="95"/>
    </row>
    <row r="35" spans="1:6" ht="17.25" customHeight="1" x14ac:dyDescent="0.2">
      <c r="A35" s="294"/>
      <c r="B35" s="310"/>
      <c r="C35" s="134" t="s">
        <v>87</v>
      </c>
      <c r="D35" s="81">
        <f>SUM(F35)</f>
        <v>0</v>
      </c>
      <c r="E35" s="92"/>
      <c r="F35" s="93"/>
    </row>
    <row r="36" spans="1:6" ht="17.25" customHeight="1" x14ac:dyDescent="0.2">
      <c r="A36" s="294"/>
      <c r="B36" s="309" t="s">
        <v>93</v>
      </c>
      <c r="C36" s="133" t="s">
        <v>86</v>
      </c>
      <c r="D36" s="82">
        <f>SUM(F36)</f>
        <v>0</v>
      </c>
      <c r="E36" s="146"/>
      <c r="F36" s="95"/>
    </row>
    <row r="37" spans="1:6" ht="17.25" customHeight="1" x14ac:dyDescent="0.2">
      <c r="A37" s="295"/>
      <c r="B37" s="310"/>
      <c r="C37" s="134" t="s">
        <v>87</v>
      </c>
      <c r="D37" s="81">
        <f>SUM(F37)</f>
        <v>0</v>
      </c>
      <c r="E37" s="96"/>
      <c r="F37" s="97"/>
    </row>
    <row r="38" spans="1:6" ht="19.5" customHeight="1" x14ac:dyDescent="0.2"/>
    <row r="39" spans="1:6" x14ac:dyDescent="0.2">
      <c r="A39" s="42" t="s">
        <v>367</v>
      </c>
      <c r="B39" s="11"/>
    </row>
    <row r="40" spans="1:6" ht="12.75" customHeight="1" x14ac:dyDescent="0.2">
      <c r="A40" s="296" t="s">
        <v>94</v>
      </c>
      <c r="B40" s="296" t="s">
        <v>62</v>
      </c>
      <c r="C40" s="293" t="s">
        <v>63</v>
      </c>
      <c r="D40" s="296" t="s">
        <v>64</v>
      </c>
    </row>
    <row r="41" spans="1:6" ht="25.5" customHeight="1" x14ac:dyDescent="0.2">
      <c r="A41" s="297"/>
      <c r="B41" s="324"/>
      <c r="C41" s="295" t="s">
        <v>65</v>
      </c>
      <c r="D41" s="297" t="s">
        <v>65</v>
      </c>
    </row>
    <row r="42" spans="1:6" ht="16.5" customHeight="1" x14ac:dyDescent="0.2">
      <c r="A42" s="90" t="s">
        <v>95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96</v>
      </c>
      <c r="B43" s="79">
        <f t="shared" si="4"/>
        <v>0</v>
      </c>
      <c r="C43" s="83">
        <f>BM18A!D158</f>
        <v>0</v>
      </c>
      <c r="D43" s="83">
        <f>BM18A!E158</f>
        <v>0</v>
      </c>
    </row>
    <row r="44" spans="1:6" ht="16.5" customHeight="1" x14ac:dyDescent="0.2">
      <c r="A44" s="90" t="s">
        <v>97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98</v>
      </c>
      <c r="B45" s="79">
        <f t="shared" si="4"/>
        <v>0</v>
      </c>
      <c r="C45" s="79">
        <f>SUM(BM18A!D132:D139)</f>
        <v>0</v>
      </c>
      <c r="D45" s="79">
        <f>SUM(BM18A!E132:E139)</f>
        <v>0</v>
      </c>
    </row>
    <row r="46" spans="1:6" ht="16.5" customHeight="1" x14ac:dyDescent="0.2">
      <c r="A46" s="90" t="s">
        <v>99</v>
      </c>
      <c r="B46" s="79">
        <f t="shared" si="4"/>
        <v>0</v>
      </c>
      <c r="C46" s="83">
        <f>BM18A!D148</f>
        <v>0</v>
      </c>
      <c r="D46" s="83">
        <f>BM18A!E148</f>
        <v>0</v>
      </c>
    </row>
    <row r="47" spans="1:6" ht="16.5" customHeight="1" x14ac:dyDescent="0.2">
      <c r="A47" s="90" t="s">
        <v>100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 x14ac:dyDescent="0.2">
      <c r="A48" s="90" t="s">
        <v>101</v>
      </c>
      <c r="B48" s="79">
        <f t="shared" si="4"/>
        <v>0</v>
      </c>
      <c r="C48" s="83">
        <f>BM18A!D169</f>
        <v>0</v>
      </c>
      <c r="D48" s="83">
        <f>BM18A!E169</f>
        <v>0</v>
      </c>
    </row>
    <row r="49" spans="1:4" ht="16.5" customHeight="1" x14ac:dyDescent="0.2">
      <c r="A49" s="90" t="s">
        <v>102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103</v>
      </c>
      <c r="B50" s="90">
        <f t="shared" si="4"/>
        <v>28</v>
      </c>
      <c r="C50" s="79">
        <f>BM18A!D177</f>
        <v>0</v>
      </c>
      <c r="D50" s="79">
        <f>BM18A!E177</f>
        <v>28</v>
      </c>
    </row>
    <row r="51" spans="1:4" ht="16.5" customHeight="1" x14ac:dyDescent="0.2">
      <c r="A51" s="223" t="s">
        <v>104</v>
      </c>
      <c r="B51" s="90">
        <f t="shared" si="4"/>
        <v>283</v>
      </c>
      <c r="C51" s="81">
        <f>BM18A!D206</f>
        <v>0</v>
      </c>
      <c r="D51" s="81">
        <f>BM18A!E206</f>
        <v>283</v>
      </c>
    </row>
    <row r="52" spans="1:4" ht="17.25" customHeight="1" x14ac:dyDescent="0.2">
      <c r="A52" s="91" t="s">
        <v>62</v>
      </c>
      <c r="B52" s="77">
        <f>SUM(B42:B51)</f>
        <v>311</v>
      </c>
      <c r="C52" s="77">
        <f>SUM(C42:C51)</f>
        <v>0</v>
      </c>
      <c r="D52" s="77">
        <f>SUM(D42:D51)</f>
        <v>311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105</v>
      </c>
    </row>
    <row r="55" spans="1:4" x14ac:dyDescent="0.2">
      <c r="A55" s="332" t="s">
        <v>106</v>
      </c>
      <c r="B55" s="330" t="s">
        <v>62</v>
      </c>
    </row>
    <row r="56" spans="1:4" x14ac:dyDescent="0.2">
      <c r="A56" s="333"/>
      <c r="B56" s="331"/>
    </row>
    <row r="57" spans="1:4" ht="17.25" customHeight="1" x14ac:dyDescent="0.2">
      <c r="A57" s="116" t="s">
        <v>107</v>
      </c>
      <c r="B57" s="207"/>
    </row>
    <row r="58" spans="1:4" ht="27.75" customHeight="1" x14ac:dyDescent="0.2">
      <c r="A58" s="36" t="s">
        <v>108</v>
      </c>
      <c r="D58" s="52"/>
    </row>
    <row r="59" spans="1:4" ht="32.25" customHeight="1" x14ac:dyDescent="0.2">
      <c r="A59" s="328" t="s">
        <v>109</v>
      </c>
      <c r="B59" s="329"/>
      <c r="C59" s="103" t="s">
        <v>110</v>
      </c>
      <c r="D59" s="104" t="s">
        <v>111</v>
      </c>
    </row>
    <row r="60" spans="1:4" ht="16.5" customHeight="1" x14ac:dyDescent="0.2">
      <c r="A60" s="325" t="s">
        <v>112</v>
      </c>
      <c r="B60" s="208" t="s">
        <v>113</v>
      </c>
      <c r="C60" s="87">
        <v>0</v>
      </c>
      <c r="D60" s="84">
        <v>0</v>
      </c>
    </row>
    <row r="61" spans="1:4" ht="16.5" customHeight="1" x14ac:dyDescent="0.2">
      <c r="A61" s="326"/>
      <c r="B61" s="12" t="s">
        <v>114</v>
      </c>
      <c r="C61" s="88"/>
      <c r="D61" s="85"/>
    </row>
    <row r="62" spans="1:4" ht="16.5" customHeight="1" x14ac:dyDescent="0.2">
      <c r="A62" s="327"/>
      <c r="B62" s="13" t="s">
        <v>115</v>
      </c>
      <c r="C62" s="89"/>
      <c r="D62" s="86"/>
    </row>
    <row r="96" spans="1:1" hidden="1" x14ac:dyDescent="0.2">
      <c r="A96" s="215">
        <f>SUM(D13:D37,B42:B52,B57,C60:C62)</f>
        <v>622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D40:D41"/>
    <mergeCell ref="B40:B41"/>
    <mergeCell ref="A60:A62"/>
    <mergeCell ref="A59:B59"/>
    <mergeCell ref="B55:B56"/>
    <mergeCell ref="A40:A41"/>
    <mergeCell ref="A55:A5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opLeftCell="A154" zoomScale="80" zoomScaleNormal="80" workbookViewId="0">
      <selection activeCell="C201" sqref="C201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58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COMUNITARIO DE SALUD FAMILIAR VILLA EL SALAR  ( 121780 )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JUNIO  ( 06 )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61"/>
      <c r="B6" s="361"/>
      <c r="C6" s="361"/>
      <c r="U6" s="54"/>
    </row>
    <row r="7" spans="1:21" s="53" customFormat="1" ht="36.75" customHeight="1" x14ac:dyDescent="0.15">
      <c r="A7" s="369" t="s">
        <v>116</v>
      </c>
      <c r="B7" s="369"/>
      <c r="C7" s="369"/>
      <c r="D7" s="369"/>
      <c r="E7" s="369"/>
      <c r="F7" s="36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60</v>
      </c>
      <c r="B9" s="120"/>
      <c r="U9" s="54"/>
    </row>
    <row r="10" spans="1:21" ht="14.1" customHeight="1" x14ac:dyDescent="0.2">
      <c r="A10" s="368" t="s">
        <v>1</v>
      </c>
      <c r="B10" s="351" t="s">
        <v>61</v>
      </c>
      <c r="C10" s="341" t="s">
        <v>62</v>
      </c>
      <c r="D10" s="351" t="s">
        <v>63</v>
      </c>
      <c r="E10" s="357" t="s">
        <v>64</v>
      </c>
      <c r="F10" s="351" t="s">
        <v>117</v>
      </c>
    </row>
    <row r="11" spans="1:21" ht="18" customHeight="1" x14ac:dyDescent="0.2">
      <c r="A11" s="368"/>
      <c r="B11" s="352"/>
      <c r="C11" s="342"/>
      <c r="D11" s="352"/>
      <c r="E11" s="358"/>
      <c r="F11" s="352"/>
    </row>
    <row r="12" spans="1:21" ht="15" customHeight="1" x14ac:dyDescent="0.2">
      <c r="A12" s="364" t="s">
        <v>118</v>
      </c>
      <c r="B12" s="364"/>
      <c r="C12" s="229"/>
      <c r="D12" s="230"/>
      <c r="E12" s="230"/>
      <c r="F12" s="231"/>
    </row>
    <row r="13" spans="1:21" ht="15" customHeight="1" x14ac:dyDescent="0.2">
      <c r="A13" s="56" t="s">
        <v>119</v>
      </c>
      <c r="B13" s="121" t="s">
        <v>120</v>
      </c>
      <c r="C13" s="64">
        <f t="shared" ref="C13:C17" si="0">SUM(D13:E13)</f>
        <v>0</v>
      </c>
      <c r="D13" s="65"/>
      <c r="E13" s="114">
        <v>0</v>
      </c>
      <c r="F13" s="65"/>
    </row>
    <row r="14" spans="1:21" ht="15" customHeight="1" x14ac:dyDescent="0.2">
      <c r="A14" s="56" t="s">
        <v>121</v>
      </c>
      <c r="B14" s="121" t="s">
        <v>122</v>
      </c>
      <c r="C14" s="64">
        <f t="shared" si="0"/>
        <v>0</v>
      </c>
      <c r="D14" s="65"/>
      <c r="E14" s="114">
        <v>0</v>
      </c>
      <c r="F14" s="65"/>
    </row>
    <row r="15" spans="1:21" ht="21.95" customHeight="1" x14ac:dyDescent="0.2">
      <c r="A15" s="56" t="s">
        <v>123</v>
      </c>
      <c r="B15" s="121" t="s">
        <v>124</v>
      </c>
      <c r="C15" s="64">
        <f t="shared" si="0"/>
        <v>0</v>
      </c>
      <c r="D15" s="65"/>
      <c r="E15" s="114">
        <v>0</v>
      </c>
      <c r="F15" s="65"/>
    </row>
    <row r="16" spans="1:21" ht="15" customHeight="1" x14ac:dyDescent="0.2">
      <c r="A16" s="56" t="s">
        <v>125</v>
      </c>
      <c r="B16" s="121" t="s">
        <v>126</v>
      </c>
      <c r="C16" s="64">
        <f t="shared" si="0"/>
        <v>0</v>
      </c>
      <c r="D16" s="65"/>
      <c r="E16" s="114">
        <v>0</v>
      </c>
      <c r="F16" s="65"/>
    </row>
    <row r="17" spans="1:6" ht="15" customHeight="1" x14ac:dyDescent="0.2">
      <c r="A17" s="56" t="s">
        <v>127</v>
      </c>
      <c r="B17" s="121" t="s">
        <v>128</v>
      </c>
      <c r="C17" s="64">
        <f t="shared" si="0"/>
        <v>0</v>
      </c>
      <c r="D17" s="65"/>
      <c r="E17" s="114">
        <v>0</v>
      </c>
      <c r="F17" s="65"/>
    </row>
    <row r="18" spans="1:6" ht="15" customHeight="1" x14ac:dyDescent="0.2">
      <c r="A18" s="56" t="s">
        <v>372</v>
      </c>
      <c r="B18" s="121" t="s">
        <v>373</v>
      </c>
      <c r="C18" s="64">
        <f t="shared" ref="C18:C19" si="1">SUM(D18:E18)</f>
        <v>0</v>
      </c>
      <c r="D18" s="65"/>
      <c r="E18" s="114">
        <v>0</v>
      </c>
      <c r="F18" s="65"/>
    </row>
    <row r="19" spans="1:6" ht="15" customHeight="1" x14ac:dyDescent="0.2">
      <c r="A19" s="56" t="s">
        <v>129</v>
      </c>
      <c r="B19" s="121" t="s">
        <v>130</v>
      </c>
      <c r="C19" s="64">
        <f t="shared" si="1"/>
        <v>0</v>
      </c>
      <c r="D19" s="65"/>
      <c r="E19" s="114">
        <v>0</v>
      </c>
      <c r="F19" s="65"/>
    </row>
    <row r="20" spans="1:6" ht="15" customHeight="1" x14ac:dyDescent="0.2">
      <c r="A20" s="362" t="s">
        <v>62</v>
      </c>
      <c r="B20" s="363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64" t="s">
        <v>131</v>
      </c>
      <c r="B22" s="364"/>
      <c r="C22" s="365"/>
      <c r="D22" s="366"/>
      <c r="E22" s="366"/>
      <c r="F22" s="367"/>
    </row>
    <row r="23" spans="1:6" ht="15" customHeight="1" x14ac:dyDescent="0.2">
      <c r="A23" s="56" t="s">
        <v>132</v>
      </c>
      <c r="B23" s="121" t="s">
        <v>133</v>
      </c>
      <c r="C23" s="64">
        <f t="shared" ref="C23:C37" si="2">SUM(D23:E23)</f>
        <v>0</v>
      </c>
      <c r="D23" s="65"/>
      <c r="E23" s="114">
        <v>0</v>
      </c>
      <c r="F23" s="65"/>
    </row>
    <row r="24" spans="1:6" ht="15" customHeight="1" x14ac:dyDescent="0.2">
      <c r="A24" s="56" t="s">
        <v>134</v>
      </c>
      <c r="B24" s="121" t="s">
        <v>135</v>
      </c>
      <c r="C24" s="64">
        <f t="shared" si="2"/>
        <v>0</v>
      </c>
      <c r="D24" s="65"/>
      <c r="E24" s="114">
        <v>0</v>
      </c>
      <c r="F24" s="65"/>
    </row>
    <row r="25" spans="1:6" ht="15" customHeight="1" x14ac:dyDescent="0.2">
      <c r="A25" s="56" t="s">
        <v>378</v>
      </c>
      <c r="B25" s="121" t="s">
        <v>379</v>
      </c>
      <c r="C25" s="64">
        <f t="shared" si="2"/>
        <v>0</v>
      </c>
      <c r="D25" s="65"/>
      <c r="E25" s="114">
        <v>0</v>
      </c>
      <c r="F25" s="65"/>
    </row>
    <row r="26" spans="1:6" ht="15" customHeight="1" x14ac:dyDescent="0.2">
      <c r="A26" s="56" t="s">
        <v>380</v>
      </c>
      <c r="B26" s="121" t="s">
        <v>381</v>
      </c>
      <c r="C26" s="64">
        <f t="shared" si="2"/>
        <v>0</v>
      </c>
      <c r="D26" s="65"/>
      <c r="E26" s="114">
        <v>0</v>
      </c>
      <c r="F26" s="65"/>
    </row>
    <row r="27" spans="1:6" ht="15" customHeight="1" x14ac:dyDescent="0.2">
      <c r="A27" s="56" t="s">
        <v>136</v>
      </c>
      <c r="B27" s="121" t="s">
        <v>137</v>
      </c>
      <c r="C27" s="64">
        <f t="shared" si="2"/>
        <v>0</v>
      </c>
      <c r="D27" s="65"/>
      <c r="E27" s="114">
        <v>0</v>
      </c>
      <c r="F27" s="65"/>
    </row>
    <row r="28" spans="1:6" ht="15" customHeight="1" x14ac:dyDescent="0.2">
      <c r="A28" s="56" t="s">
        <v>138</v>
      </c>
      <c r="B28" s="121" t="s">
        <v>139</v>
      </c>
      <c r="C28" s="64">
        <f t="shared" si="2"/>
        <v>0</v>
      </c>
      <c r="D28" s="65"/>
      <c r="E28" s="114">
        <v>0</v>
      </c>
      <c r="F28" s="65"/>
    </row>
    <row r="29" spans="1:6" ht="15" customHeight="1" x14ac:dyDescent="0.2">
      <c r="A29" s="56" t="s">
        <v>140</v>
      </c>
      <c r="B29" s="121" t="s">
        <v>141</v>
      </c>
      <c r="C29" s="64">
        <f t="shared" si="2"/>
        <v>0</v>
      </c>
      <c r="D29" s="65"/>
      <c r="E29" s="114">
        <v>0</v>
      </c>
      <c r="F29" s="65"/>
    </row>
    <row r="30" spans="1:6" ht="21.95" customHeight="1" x14ac:dyDescent="0.2">
      <c r="A30" s="56" t="s">
        <v>142</v>
      </c>
      <c r="B30" s="121" t="s">
        <v>143</v>
      </c>
      <c r="C30" s="64">
        <f t="shared" si="2"/>
        <v>0</v>
      </c>
      <c r="D30" s="65"/>
      <c r="E30" s="114">
        <v>0</v>
      </c>
      <c r="F30" s="65"/>
    </row>
    <row r="31" spans="1:6" ht="31.5" x14ac:dyDescent="0.2">
      <c r="A31" s="56" t="s">
        <v>144</v>
      </c>
      <c r="B31" s="121" t="s">
        <v>145</v>
      </c>
      <c r="C31" s="64">
        <f t="shared" si="2"/>
        <v>0</v>
      </c>
      <c r="D31" s="65"/>
      <c r="E31" s="114">
        <v>0</v>
      </c>
      <c r="F31" s="65"/>
    </row>
    <row r="32" spans="1:6" ht="15" customHeight="1" x14ac:dyDescent="0.2">
      <c r="A32" s="56" t="s">
        <v>146</v>
      </c>
      <c r="B32" s="121" t="s">
        <v>147</v>
      </c>
      <c r="C32" s="64">
        <f t="shared" si="2"/>
        <v>0</v>
      </c>
      <c r="D32" s="65"/>
      <c r="E32" s="114">
        <v>0</v>
      </c>
      <c r="F32" s="65"/>
    </row>
    <row r="33" spans="1:6" ht="15" customHeight="1" x14ac:dyDescent="0.2">
      <c r="A33" s="56" t="s">
        <v>148</v>
      </c>
      <c r="B33" s="121" t="s">
        <v>149</v>
      </c>
      <c r="C33" s="64">
        <f t="shared" si="2"/>
        <v>0</v>
      </c>
      <c r="D33" s="65"/>
      <c r="E33" s="114">
        <v>0</v>
      </c>
      <c r="F33" s="65"/>
    </row>
    <row r="34" spans="1:6" ht="11.25" x14ac:dyDescent="0.2">
      <c r="A34" s="56" t="s">
        <v>150</v>
      </c>
      <c r="B34" s="121" t="s">
        <v>151</v>
      </c>
      <c r="C34" s="64">
        <f t="shared" si="2"/>
        <v>0</v>
      </c>
      <c r="D34" s="65"/>
      <c r="E34" s="114">
        <v>0</v>
      </c>
      <c r="F34" s="65"/>
    </row>
    <row r="35" spans="1:6" ht="15" customHeight="1" x14ac:dyDescent="0.2">
      <c r="A35" s="56" t="s">
        <v>152</v>
      </c>
      <c r="B35" s="121" t="s">
        <v>153</v>
      </c>
      <c r="C35" s="64">
        <f t="shared" si="2"/>
        <v>0</v>
      </c>
      <c r="D35" s="65"/>
      <c r="E35" s="114">
        <v>0</v>
      </c>
      <c r="F35" s="65"/>
    </row>
    <row r="36" spans="1:6" ht="15" customHeight="1" x14ac:dyDescent="0.2">
      <c r="A36" s="56" t="s">
        <v>382</v>
      </c>
      <c r="B36" s="121" t="s">
        <v>383</v>
      </c>
      <c r="C36" s="64">
        <f t="shared" si="2"/>
        <v>0</v>
      </c>
      <c r="D36" s="65"/>
      <c r="E36" s="114">
        <v>0</v>
      </c>
      <c r="F36" s="65"/>
    </row>
    <row r="37" spans="1:6" ht="21.95" customHeight="1" x14ac:dyDescent="0.2">
      <c r="A37" s="56" t="s">
        <v>154</v>
      </c>
      <c r="B37" s="121" t="s">
        <v>155</v>
      </c>
      <c r="C37" s="64">
        <f t="shared" si="2"/>
        <v>0</v>
      </c>
      <c r="D37" s="65"/>
      <c r="E37" s="114">
        <v>0</v>
      </c>
      <c r="F37" s="65"/>
    </row>
    <row r="38" spans="1:6" ht="15" customHeight="1" x14ac:dyDescent="0.2">
      <c r="A38" s="56" t="s">
        <v>156</v>
      </c>
      <c r="B38" s="121" t="s">
        <v>157</v>
      </c>
      <c r="C38" s="64">
        <f t="shared" ref="C38:C42" si="3">SUM(D38:E38)</f>
        <v>0</v>
      </c>
      <c r="D38" s="65"/>
      <c r="E38" s="114">
        <v>0</v>
      </c>
      <c r="F38" s="65"/>
    </row>
    <row r="39" spans="1:6" ht="14.25" customHeight="1" x14ac:dyDescent="0.2">
      <c r="A39" s="56" t="s">
        <v>158</v>
      </c>
      <c r="B39" s="121" t="s">
        <v>159</v>
      </c>
      <c r="C39" s="64">
        <f t="shared" si="3"/>
        <v>0</v>
      </c>
      <c r="D39" s="65"/>
      <c r="E39" s="114">
        <v>0</v>
      </c>
      <c r="F39" s="65"/>
    </row>
    <row r="40" spans="1:6" ht="15" customHeight="1" x14ac:dyDescent="0.2">
      <c r="A40" s="56" t="s">
        <v>160</v>
      </c>
      <c r="B40" s="121" t="s">
        <v>161</v>
      </c>
      <c r="C40" s="64">
        <f t="shared" ref="C40" si="4">SUM(D40:E40)</f>
        <v>0</v>
      </c>
      <c r="D40" s="65"/>
      <c r="E40" s="114">
        <v>0</v>
      </c>
      <c r="F40" s="65"/>
    </row>
    <row r="41" spans="1:6" ht="15" customHeight="1" x14ac:dyDescent="0.2">
      <c r="A41" s="56" t="s">
        <v>374</v>
      </c>
      <c r="B41" s="121" t="s">
        <v>375</v>
      </c>
      <c r="C41" s="64">
        <f t="shared" si="3"/>
        <v>0</v>
      </c>
      <c r="D41" s="65"/>
      <c r="E41" s="114">
        <v>0</v>
      </c>
      <c r="F41" s="65"/>
    </row>
    <row r="42" spans="1:6" ht="15" customHeight="1" x14ac:dyDescent="0.2">
      <c r="A42" s="56" t="s">
        <v>162</v>
      </c>
      <c r="B42" s="121" t="s">
        <v>163</v>
      </c>
      <c r="C42" s="64">
        <f t="shared" si="3"/>
        <v>0</v>
      </c>
      <c r="D42" s="65"/>
      <c r="E42" s="114">
        <v>0</v>
      </c>
      <c r="F42" s="65"/>
    </row>
    <row r="43" spans="1:6" ht="15" customHeight="1" x14ac:dyDescent="0.2">
      <c r="A43" s="345" t="s">
        <v>62</v>
      </c>
      <c r="B43" s="347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8" t="s">
        <v>164</v>
      </c>
      <c r="B45" s="339"/>
      <c r="C45" s="370"/>
      <c r="D45" s="370"/>
      <c r="E45" s="370"/>
      <c r="F45" s="371"/>
    </row>
    <row r="46" spans="1:6" ht="15" customHeight="1" x14ac:dyDescent="0.2">
      <c r="A46" s="218" t="s">
        <v>165</v>
      </c>
      <c r="B46" s="198" t="s">
        <v>166</v>
      </c>
      <c r="C46" s="64">
        <f t="shared" ref="C46:C48" si="5">SUM(D46:E46)</f>
        <v>0</v>
      </c>
      <c r="D46" s="65"/>
      <c r="E46" s="114">
        <v>0</v>
      </c>
      <c r="F46" s="65"/>
    </row>
    <row r="47" spans="1:6" ht="15" customHeight="1" x14ac:dyDescent="0.2">
      <c r="A47" s="56" t="s">
        <v>167</v>
      </c>
      <c r="B47" s="121" t="s">
        <v>168</v>
      </c>
      <c r="C47" s="64">
        <f t="shared" si="5"/>
        <v>0</v>
      </c>
      <c r="D47" s="65"/>
      <c r="E47" s="114">
        <v>0</v>
      </c>
      <c r="F47" s="65"/>
    </row>
    <row r="48" spans="1:6" ht="15" customHeight="1" x14ac:dyDescent="0.2">
      <c r="A48" s="56" t="s">
        <v>169</v>
      </c>
      <c r="B48" s="121" t="s">
        <v>170</v>
      </c>
      <c r="C48" s="64">
        <f t="shared" si="5"/>
        <v>0</v>
      </c>
      <c r="D48" s="65"/>
      <c r="E48" s="114">
        <v>0</v>
      </c>
      <c r="F48" s="65"/>
    </row>
    <row r="49" spans="1:6" ht="15" customHeight="1" x14ac:dyDescent="0.2">
      <c r="A49" s="345" t="s">
        <v>62</v>
      </c>
      <c r="B49" s="34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8" t="s">
        <v>74</v>
      </c>
      <c r="B51" s="339"/>
      <c r="C51" s="372"/>
      <c r="D51" s="372"/>
      <c r="E51" s="372"/>
      <c r="F51" s="373"/>
    </row>
    <row r="52" spans="1:6" ht="15" customHeight="1" x14ac:dyDescent="0.2">
      <c r="A52" s="219" t="s">
        <v>171</v>
      </c>
      <c r="B52" s="198" t="s">
        <v>172</v>
      </c>
      <c r="C52" s="64">
        <f t="shared" ref="C52:C53" si="6">SUM(D52:E52)</f>
        <v>0</v>
      </c>
      <c r="D52" s="65"/>
      <c r="E52" s="114">
        <v>0</v>
      </c>
      <c r="F52" s="65"/>
    </row>
    <row r="53" spans="1:6" ht="15" customHeight="1" x14ac:dyDescent="0.2">
      <c r="A53" s="57" t="s">
        <v>173</v>
      </c>
      <c r="B53" s="121" t="s">
        <v>174</v>
      </c>
      <c r="C53" s="64">
        <f t="shared" si="6"/>
        <v>0</v>
      </c>
      <c r="D53" s="65"/>
      <c r="E53" s="114">
        <v>0</v>
      </c>
      <c r="F53" s="65"/>
    </row>
    <row r="54" spans="1:6" ht="15" customHeight="1" x14ac:dyDescent="0.2">
      <c r="A54" s="345" t="s">
        <v>62</v>
      </c>
      <c r="B54" s="34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8" t="s">
        <v>76</v>
      </c>
      <c r="B56" s="339"/>
      <c r="C56" s="374"/>
      <c r="D56" s="372"/>
      <c r="E56" s="372"/>
      <c r="F56" s="373"/>
    </row>
    <row r="57" spans="1:6" ht="15" customHeight="1" x14ac:dyDescent="0.2">
      <c r="A57" s="57" t="s">
        <v>175</v>
      </c>
      <c r="B57" s="121" t="s">
        <v>176</v>
      </c>
      <c r="C57" s="64">
        <f t="shared" ref="C57:C71" si="7">SUM(D57:E57)</f>
        <v>0</v>
      </c>
      <c r="D57" s="65"/>
      <c r="E57" s="114">
        <v>0</v>
      </c>
      <c r="F57" s="65"/>
    </row>
    <row r="58" spans="1:6" ht="15" customHeight="1" x14ac:dyDescent="0.2">
      <c r="A58" s="57" t="s">
        <v>177</v>
      </c>
      <c r="B58" s="121" t="s">
        <v>178</v>
      </c>
      <c r="C58" s="64">
        <f t="shared" si="7"/>
        <v>0</v>
      </c>
      <c r="D58" s="65"/>
      <c r="E58" s="114">
        <v>0</v>
      </c>
      <c r="F58" s="65"/>
    </row>
    <row r="59" spans="1:6" ht="15" customHeight="1" x14ac:dyDescent="0.2">
      <c r="A59" s="57" t="s">
        <v>179</v>
      </c>
      <c r="B59" s="121" t="s">
        <v>180</v>
      </c>
      <c r="C59" s="64">
        <f t="shared" si="7"/>
        <v>0</v>
      </c>
      <c r="D59" s="65"/>
      <c r="E59" s="114">
        <v>0</v>
      </c>
      <c r="F59" s="65"/>
    </row>
    <row r="60" spans="1:6" ht="15" customHeight="1" x14ac:dyDescent="0.2">
      <c r="A60" s="57" t="s">
        <v>181</v>
      </c>
      <c r="B60" s="121" t="s">
        <v>182</v>
      </c>
      <c r="C60" s="64">
        <f t="shared" si="7"/>
        <v>0</v>
      </c>
      <c r="D60" s="65"/>
      <c r="E60" s="114">
        <v>0</v>
      </c>
      <c r="F60" s="65"/>
    </row>
    <row r="61" spans="1:6" ht="15" customHeight="1" x14ac:dyDescent="0.2">
      <c r="A61" s="57" t="s">
        <v>183</v>
      </c>
      <c r="B61" s="121" t="s">
        <v>184</v>
      </c>
      <c r="C61" s="64">
        <f t="shared" si="7"/>
        <v>0</v>
      </c>
      <c r="D61" s="65"/>
      <c r="E61" s="114">
        <v>0</v>
      </c>
      <c r="F61" s="65"/>
    </row>
    <row r="62" spans="1:6" ht="15" customHeight="1" x14ac:dyDescent="0.2">
      <c r="A62" s="57" t="s">
        <v>185</v>
      </c>
      <c r="B62" s="121" t="s">
        <v>186</v>
      </c>
      <c r="C62" s="64">
        <f t="shared" si="7"/>
        <v>0</v>
      </c>
      <c r="D62" s="65"/>
      <c r="E62" s="114">
        <v>0</v>
      </c>
      <c r="F62" s="65"/>
    </row>
    <row r="63" spans="1:6" ht="21.95" customHeight="1" x14ac:dyDescent="0.2">
      <c r="A63" s="56" t="s">
        <v>386</v>
      </c>
      <c r="B63" s="121" t="s">
        <v>385</v>
      </c>
      <c r="C63" s="64">
        <f t="shared" si="7"/>
        <v>0</v>
      </c>
      <c r="D63" s="65"/>
      <c r="E63" s="114">
        <v>0</v>
      </c>
      <c r="F63" s="65"/>
    </row>
    <row r="64" spans="1:6" ht="15" customHeight="1" x14ac:dyDescent="0.2">
      <c r="A64" s="56" t="s">
        <v>187</v>
      </c>
      <c r="B64" s="121" t="s">
        <v>188</v>
      </c>
      <c r="C64" s="64">
        <f t="shared" si="7"/>
        <v>0</v>
      </c>
      <c r="D64" s="65"/>
      <c r="E64" s="114">
        <v>0</v>
      </c>
      <c r="F64" s="65"/>
    </row>
    <row r="65" spans="1:6" ht="15" customHeight="1" x14ac:dyDescent="0.2">
      <c r="A65" s="57" t="s">
        <v>189</v>
      </c>
      <c r="B65" s="121" t="s">
        <v>190</v>
      </c>
      <c r="C65" s="64">
        <f t="shared" si="7"/>
        <v>0</v>
      </c>
      <c r="D65" s="65"/>
      <c r="E65" s="114">
        <v>0</v>
      </c>
      <c r="F65" s="65"/>
    </row>
    <row r="66" spans="1:6" ht="21" x14ac:dyDescent="0.2">
      <c r="A66" s="57" t="s">
        <v>191</v>
      </c>
      <c r="B66" s="121" t="s">
        <v>192</v>
      </c>
      <c r="C66" s="64">
        <f t="shared" si="7"/>
        <v>0</v>
      </c>
      <c r="D66" s="65"/>
      <c r="E66" s="114">
        <v>0</v>
      </c>
      <c r="F66" s="65"/>
    </row>
    <row r="67" spans="1:6" ht="15" customHeight="1" x14ac:dyDescent="0.2">
      <c r="A67" s="57" t="s">
        <v>193</v>
      </c>
      <c r="B67" s="121" t="s">
        <v>194</v>
      </c>
      <c r="C67" s="64">
        <f t="shared" si="7"/>
        <v>0</v>
      </c>
      <c r="D67" s="65"/>
      <c r="E67" s="114">
        <v>0</v>
      </c>
      <c r="F67" s="65"/>
    </row>
    <row r="68" spans="1:6" ht="21.95" customHeight="1" x14ac:dyDescent="0.2">
      <c r="A68" s="56" t="s">
        <v>388</v>
      </c>
      <c r="B68" s="121" t="s">
        <v>387</v>
      </c>
      <c r="C68" s="64">
        <f t="shared" si="7"/>
        <v>0</v>
      </c>
      <c r="D68" s="65"/>
      <c r="E68" s="114">
        <v>0</v>
      </c>
      <c r="F68" s="65"/>
    </row>
    <row r="69" spans="1:6" ht="21.95" customHeight="1" x14ac:dyDescent="0.2">
      <c r="A69" s="57" t="s">
        <v>195</v>
      </c>
      <c r="B69" s="121" t="s">
        <v>196</v>
      </c>
      <c r="C69" s="64">
        <f t="shared" si="7"/>
        <v>0</v>
      </c>
      <c r="D69" s="65"/>
      <c r="E69" s="114">
        <v>0</v>
      </c>
      <c r="F69" s="65"/>
    </row>
    <row r="70" spans="1:6" ht="15" customHeight="1" x14ac:dyDescent="0.2">
      <c r="A70" s="57" t="s">
        <v>389</v>
      </c>
      <c r="B70" s="121" t="s">
        <v>390</v>
      </c>
      <c r="C70" s="64">
        <f t="shared" si="7"/>
        <v>0</v>
      </c>
      <c r="D70" s="67"/>
      <c r="E70" s="115">
        <v>0</v>
      </c>
      <c r="F70" s="67"/>
    </row>
    <row r="71" spans="1:6" ht="15" customHeight="1" x14ac:dyDescent="0.2">
      <c r="A71" s="58" t="s">
        <v>197</v>
      </c>
      <c r="B71" s="129" t="s">
        <v>198</v>
      </c>
      <c r="C71" s="64">
        <f t="shared" si="7"/>
        <v>0</v>
      </c>
      <c r="D71" s="67"/>
      <c r="E71" s="115">
        <v>0</v>
      </c>
      <c r="F71" s="67"/>
    </row>
    <row r="72" spans="1:6" ht="15" customHeight="1" x14ac:dyDescent="0.2">
      <c r="A72" s="239" t="s">
        <v>392</v>
      </c>
      <c r="B72" s="129" t="s">
        <v>391</v>
      </c>
      <c r="C72" s="66">
        <f t="shared" ref="C72" si="8">SUM(D72:E72)</f>
        <v>0</v>
      </c>
      <c r="D72" s="67"/>
      <c r="E72" s="115">
        <v>0</v>
      </c>
      <c r="F72" s="67"/>
    </row>
    <row r="73" spans="1:6" ht="15" customHeight="1" x14ac:dyDescent="0.2">
      <c r="A73" s="345" t="s">
        <v>62</v>
      </c>
      <c r="B73" s="347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75" t="s">
        <v>384</v>
      </c>
      <c r="B75" s="376"/>
      <c r="C75" s="220"/>
      <c r="D75" s="221"/>
      <c r="E75" s="221"/>
      <c r="F75" s="222"/>
    </row>
    <row r="76" spans="1:6" ht="15" customHeight="1" x14ac:dyDescent="0.2">
      <c r="A76" s="57" t="s">
        <v>199</v>
      </c>
      <c r="B76" s="121" t="s">
        <v>200</v>
      </c>
      <c r="C76" s="64">
        <f t="shared" ref="C76:C77" si="9">SUM(D76:E76)</f>
        <v>0</v>
      </c>
      <c r="D76" s="65"/>
      <c r="E76" s="114">
        <v>0</v>
      </c>
      <c r="F76" s="65"/>
    </row>
    <row r="77" spans="1:6" ht="15" customHeight="1" x14ac:dyDescent="0.2">
      <c r="A77" s="57" t="s">
        <v>201</v>
      </c>
      <c r="B77" s="121" t="s">
        <v>202</v>
      </c>
      <c r="C77" s="64">
        <f t="shared" si="9"/>
        <v>0</v>
      </c>
      <c r="D77" s="65"/>
      <c r="E77" s="114">
        <v>0</v>
      </c>
      <c r="F77" s="65"/>
    </row>
    <row r="78" spans="1:6" ht="15" customHeight="1" x14ac:dyDescent="0.2">
      <c r="A78" s="345" t="s">
        <v>62</v>
      </c>
      <c r="B78" s="347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8" t="s">
        <v>203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204</v>
      </c>
      <c r="B81" s="121" t="s">
        <v>205</v>
      </c>
      <c r="C81" s="64">
        <f t="shared" ref="C81:C87" si="10">SUM(D81:E81)</f>
        <v>0</v>
      </c>
      <c r="D81" s="65"/>
      <c r="E81" s="114">
        <v>0</v>
      </c>
      <c r="F81" s="65"/>
    </row>
    <row r="82" spans="1:6" ht="15" customHeight="1" x14ac:dyDescent="0.2">
      <c r="A82" s="57" t="s">
        <v>206</v>
      </c>
      <c r="B82" s="121" t="s">
        <v>207</v>
      </c>
      <c r="C82" s="64">
        <f t="shared" si="10"/>
        <v>0</v>
      </c>
      <c r="D82" s="65"/>
      <c r="E82" s="114">
        <v>0</v>
      </c>
      <c r="F82" s="65"/>
    </row>
    <row r="83" spans="1:6" ht="15" customHeight="1" x14ac:dyDescent="0.2">
      <c r="A83" s="57" t="s">
        <v>208</v>
      </c>
      <c r="B83" s="121" t="s">
        <v>209</v>
      </c>
      <c r="C83" s="64">
        <f t="shared" si="10"/>
        <v>0</v>
      </c>
      <c r="D83" s="65"/>
      <c r="E83" s="114">
        <v>0</v>
      </c>
      <c r="F83" s="65"/>
    </row>
    <row r="84" spans="1:6" ht="15" customHeight="1" x14ac:dyDescent="0.2">
      <c r="A84" s="57" t="s">
        <v>210</v>
      </c>
      <c r="B84" s="121" t="s">
        <v>211</v>
      </c>
      <c r="C84" s="64">
        <f t="shared" si="10"/>
        <v>0</v>
      </c>
      <c r="D84" s="65"/>
      <c r="E84" s="114">
        <v>0</v>
      </c>
      <c r="F84" s="65"/>
    </row>
    <row r="85" spans="1:6" ht="15" customHeight="1" x14ac:dyDescent="0.2">
      <c r="A85" s="57" t="s">
        <v>212</v>
      </c>
      <c r="B85" s="121" t="s">
        <v>213</v>
      </c>
      <c r="C85" s="64">
        <f t="shared" si="10"/>
        <v>0</v>
      </c>
      <c r="D85" s="65"/>
      <c r="E85" s="114">
        <v>0</v>
      </c>
      <c r="F85" s="65"/>
    </row>
    <row r="86" spans="1:6" ht="21" x14ac:dyDescent="0.2">
      <c r="A86" s="57" t="s">
        <v>214</v>
      </c>
      <c r="B86" s="121" t="s">
        <v>215</v>
      </c>
      <c r="C86" s="64">
        <f t="shared" si="10"/>
        <v>0</v>
      </c>
      <c r="D86" s="65"/>
      <c r="E86" s="114">
        <v>0</v>
      </c>
      <c r="F86" s="65"/>
    </row>
    <row r="87" spans="1:6" ht="15" customHeight="1" x14ac:dyDescent="0.2">
      <c r="A87" s="57" t="s">
        <v>216</v>
      </c>
      <c r="B87" s="121" t="s">
        <v>217</v>
      </c>
      <c r="C87" s="64">
        <f t="shared" si="10"/>
        <v>0</v>
      </c>
      <c r="D87" s="65"/>
      <c r="E87" s="114">
        <v>0</v>
      </c>
      <c r="F87" s="65"/>
    </row>
    <row r="88" spans="1:6" ht="15" customHeight="1" x14ac:dyDescent="0.2">
      <c r="A88" s="345" t="s">
        <v>62</v>
      </c>
      <c r="B88" s="346"/>
      <c r="C88" s="160">
        <f>SUM(C81:C87)</f>
        <v>0</v>
      </c>
      <c r="D88" s="156">
        <f>SUM(D81:D87)</f>
        <v>0</v>
      </c>
      <c r="E88" s="157">
        <f>SUM(E81:E87)</f>
        <v>0</v>
      </c>
      <c r="F88" s="156">
        <f>SUM(F81:F87)</f>
        <v>0</v>
      </c>
    </row>
    <row r="89" spans="1:6" ht="15" customHeight="1" x14ac:dyDescent="0.2">
      <c r="A89" s="345" t="s">
        <v>218</v>
      </c>
      <c r="B89" s="346"/>
      <c r="C89" s="160">
        <f>+C20+C43+C49+C54+C73+C78+C88</f>
        <v>0</v>
      </c>
      <c r="D89" s="156">
        <f>+D20+D43+D49+D54+D73+D78+D88</f>
        <v>0</v>
      </c>
      <c r="E89" s="157">
        <f>+E20+E43+E49+E54+E73+E78+E88</f>
        <v>0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59" t="s">
        <v>219</v>
      </c>
      <c r="B91" s="360"/>
      <c r="C91" s="349"/>
      <c r="D91" s="349"/>
      <c r="E91" s="349"/>
      <c r="F91" s="350"/>
    </row>
    <row r="92" spans="1:6" ht="15" customHeight="1" x14ac:dyDescent="0.2">
      <c r="A92" s="186" t="s">
        <v>220</v>
      </c>
      <c r="B92" s="128" t="s">
        <v>221</v>
      </c>
      <c r="C92" s="181">
        <f t="shared" ref="C92:C113" si="11">SUM(D92:E92)</f>
        <v>0</v>
      </c>
      <c r="D92" s="63"/>
      <c r="E92" s="113">
        <v>0</v>
      </c>
      <c r="F92" s="63"/>
    </row>
    <row r="93" spans="1:6" ht="15" customHeight="1" x14ac:dyDescent="0.2">
      <c r="A93" s="57" t="s">
        <v>222</v>
      </c>
      <c r="B93" s="121" t="s">
        <v>223</v>
      </c>
      <c r="C93" s="64">
        <f t="shared" si="11"/>
        <v>0</v>
      </c>
      <c r="D93" s="65"/>
      <c r="E93" s="114">
        <v>0</v>
      </c>
      <c r="F93" s="65"/>
    </row>
    <row r="94" spans="1:6" ht="15" customHeight="1" x14ac:dyDescent="0.2">
      <c r="A94" s="57" t="s">
        <v>224</v>
      </c>
      <c r="B94" s="121" t="s">
        <v>225</v>
      </c>
      <c r="C94" s="64">
        <f t="shared" si="11"/>
        <v>0</v>
      </c>
      <c r="D94" s="65"/>
      <c r="E94" s="114">
        <v>0</v>
      </c>
      <c r="F94" s="65"/>
    </row>
    <row r="95" spans="1:6" ht="15" customHeight="1" x14ac:dyDescent="0.2">
      <c r="A95" s="57" t="s">
        <v>226</v>
      </c>
      <c r="B95" s="121" t="s">
        <v>227</v>
      </c>
      <c r="C95" s="64">
        <f t="shared" si="11"/>
        <v>0</v>
      </c>
      <c r="D95" s="65"/>
      <c r="E95" s="114">
        <v>0</v>
      </c>
      <c r="F95" s="65"/>
    </row>
    <row r="96" spans="1:6" ht="15" customHeight="1" x14ac:dyDescent="0.2">
      <c r="A96" s="57" t="s">
        <v>228</v>
      </c>
      <c r="B96" s="121" t="s">
        <v>229</v>
      </c>
      <c r="C96" s="64">
        <f t="shared" si="11"/>
        <v>0</v>
      </c>
      <c r="D96" s="65"/>
      <c r="E96" s="114">
        <v>0</v>
      </c>
      <c r="F96" s="65"/>
    </row>
    <row r="97" spans="1:6" ht="15" customHeight="1" x14ac:dyDescent="0.2">
      <c r="A97" s="57" t="s">
        <v>230</v>
      </c>
      <c r="B97" s="121" t="s">
        <v>231</v>
      </c>
      <c r="C97" s="64">
        <f t="shared" si="11"/>
        <v>0</v>
      </c>
      <c r="D97" s="65"/>
      <c r="E97" s="114">
        <v>0</v>
      </c>
      <c r="F97" s="65"/>
    </row>
    <row r="98" spans="1:6" ht="15" customHeight="1" x14ac:dyDescent="0.2">
      <c r="A98" s="57" t="s">
        <v>232</v>
      </c>
      <c r="B98" s="121" t="s">
        <v>233</v>
      </c>
      <c r="C98" s="64">
        <f t="shared" si="11"/>
        <v>0</v>
      </c>
      <c r="D98" s="65"/>
      <c r="E98" s="114">
        <v>0</v>
      </c>
      <c r="F98" s="65"/>
    </row>
    <row r="99" spans="1:6" ht="15" customHeight="1" x14ac:dyDescent="0.2">
      <c r="A99" s="57" t="s">
        <v>234</v>
      </c>
      <c r="B99" s="121" t="s">
        <v>235</v>
      </c>
      <c r="C99" s="64">
        <f t="shared" si="11"/>
        <v>0</v>
      </c>
      <c r="D99" s="65"/>
      <c r="E99" s="114">
        <v>0</v>
      </c>
      <c r="F99" s="65"/>
    </row>
    <row r="100" spans="1:6" ht="15" customHeight="1" x14ac:dyDescent="0.2">
      <c r="A100" s="57" t="s">
        <v>236</v>
      </c>
      <c r="B100" s="121" t="s">
        <v>237</v>
      </c>
      <c r="C100" s="64">
        <f t="shared" si="11"/>
        <v>0</v>
      </c>
      <c r="D100" s="65"/>
      <c r="E100" s="114">
        <v>0</v>
      </c>
      <c r="F100" s="65"/>
    </row>
    <row r="101" spans="1:6" ht="15" customHeight="1" x14ac:dyDescent="0.2">
      <c r="A101" s="57" t="s">
        <v>238</v>
      </c>
      <c r="B101" s="121" t="s">
        <v>239</v>
      </c>
      <c r="C101" s="64">
        <f t="shared" si="11"/>
        <v>0</v>
      </c>
      <c r="D101" s="65"/>
      <c r="E101" s="114">
        <v>0</v>
      </c>
      <c r="F101" s="65"/>
    </row>
    <row r="102" spans="1:6" ht="15" customHeight="1" x14ac:dyDescent="0.2">
      <c r="A102" s="57" t="s">
        <v>240</v>
      </c>
      <c r="B102" s="121" t="s">
        <v>241</v>
      </c>
      <c r="C102" s="64">
        <f t="shared" si="11"/>
        <v>0</v>
      </c>
      <c r="D102" s="65"/>
      <c r="E102" s="114">
        <v>0</v>
      </c>
      <c r="F102" s="65"/>
    </row>
    <row r="103" spans="1:6" ht="15" customHeight="1" x14ac:dyDescent="0.2">
      <c r="A103" s="57" t="s">
        <v>242</v>
      </c>
      <c r="B103" s="121" t="s">
        <v>243</v>
      </c>
      <c r="C103" s="64">
        <f t="shared" si="11"/>
        <v>0</v>
      </c>
      <c r="D103" s="65"/>
      <c r="E103" s="114">
        <v>0</v>
      </c>
      <c r="F103" s="65"/>
    </row>
    <row r="104" spans="1:6" ht="15" customHeight="1" x14ac:dyDescent="0.2">
      <c r="A104" s="57" t="s">
        <v>244</v>
      </c>
      <c r="B104" s="121" t="s">
        <v>245</v>
      </c>
      <c r="C104" s="64">
        <f t="shared" si="11"/>
        <v>0</v>
      </c>
      <c r="D104" s="65"/>
      <c r="E104" s="114">
        <v>0</v>
      </c>
      <c r="F104" s="65"/>
    </row>
    <row r="105" spans="1:6" ht="15" customHeight="1" x14ac:dyDescent="0.2">
      <c r="A105" s="57" t="s">
        <v>246</v>
      </c>
      <c r="B105" s="121" t="s">
        <v>247</v>
      </c>
      <c r="C105" s="64">
        <f t="shared" si="11"/>
        <v>0</v>
      </c>
      <c r="D105" s="65"/>
      <c r="E105" s="114">
        <v>0</v>
      </c>
      <c r="F105" s="65"/>
    </row>
    <row r="106" spans="1:6" ht="15" customHeight="1" x14ac:dyDescent="0.2">
      <c r="A106" s="57" t="s">
        <v>248</v>
      </c>
      <c r="B106" s="121" t="s">
        <v>249</v>
      </c>
      <c r="C106" s="64">
        <f t="shared" si="11"/>
        <v>0</v>
      </c>
      <c r="D106" s="65"/>
      <c r="E106" s="114">
        <v>0</v>
      </c>
      <c r="F106" s="65"/>
    </row>
    <row r="107" spans="1:6" ht="15" customHeight="1" x14ac:dyDescent="0.2">
      <c r="A107" s="57" t="s">
        <v>250</v>
      </c>
      <c r="B107" s="121" t="s">
        <v>251</v>
      </c>
      <c r="C107" s="64">
        <f t="shared" si="11"/>
        <v>0</v>
      </c>
      <c r="D107" s="65"/>
      <c r="E107" s="114">
        <v>0</v>
      </c>
      <c r="F107" s="65"/>
    </row>
    <row r="108" spans="1:6" ht="15" customHeight="1" x14ac:dyDescent="0.2">
      <c r="A108" s="57" t="s">
        <v>252</v>
      </c>
      <c r="B108" s="121" t="s">
        <v>253</v>
      </c>
      <c r="C108" s="64">
        <f t="shared" si="11"/>
        <v>0</v>
      </c>
      <c r="D108" s="65"/>
      <c r="E108" s="114">
        <v>0</v>
      </c>
      <c r="F108" s="65"/>
    </row>
    <row r="109" spans="1:6" ht="21.95" customHeight="1" x14ac:dyDescent="0.2">
      <c r="A109" s="57" t="s">
        <v>254</v>
      </c>
      <c r="B109" s="121" t="s">
        <v>255</v>
      </c>
      <c r="C109" s="64">
        <f t="shared" si="11"/>
        <v>0</v>
      </c>
      <c r="D109" s="65"/>
      <c r="E109" s="114">
        <v>0</v>
      </c>
      <c r="F109" s="65"/>
    </row>
    <row r="110" spans="1:6" ht="15" customHeight="1" x14ac:dyDescent="0.2">
      <c r="A110" s="57" t="s">
        <v>256</v>
      </c>
      <c r="B110" s="121" t="s">
        <v>257</v>
      </c>
      <c r="C110" s="64">
        <f t="shared" si="11"/>
        <v>0</v>
      </c>
      <c r="D110" s="65"/>
      <c r="E110" s="114">
        <v>0</v>
      </c>
      <c r="F110" s="65"/>
    </row>
    <row r="111" spans="1:6" ht="15" customHeight="1" x14ac:dyDescent="0.2">
      <c r="A111" s="57" t="s">
        <v>258</v>
      </c>
      <c r="B111" s="121" t="s">
        <v>259</v>
      </c>
      <c r="C111" s="64">
        <f t="shared" si="11"/>
        <v>0</v>
      </c>
      <c r="D111" s="65"/>
      <c r="E111" s="114">
        <v>0</v>
      </c>
      <c r="F111" s="65"/>
    </row>
    <row r="112" spans="1:6" ht="15" customHeight="1" x14ac:dyDescent="0.2">
      <c r="A112" s="57" t="s">
        <v>260</v>
      </c>
      <c r="B112" s="121" t="s">
        <v>261</v>
      </c>
      <c r="C112" s="64">
        <f t="shared" si="11"/>
        <v>0</v>
      </c>
      <c r="D112" s="65"/>
      <c r="E112" s="114">
        <v>0</v>
      </c>
      <c r="F112" s="65"/>
    </row>
    <row r="113" spans="1:6" ht="15" customHeight="1" x14ac:dyDescent="0.2">
      <c r="A113" s="57" t="s">
        <v>262</v>
      </c>
      <c r="B113" s="121" t="s">
        <v>263</v>
      </c>
      <c r="C113" s="64">
        <f t="shared" si="11"/>
        <v>0</v>
      </c>
      <c r="D113" s="65"/>
      <c r="E113" s="114">
        <v>0</v>
      </c>
      <c r="F113" s="65"/>
    </row>
    <row r="114" spans="1:6" ht="15" customHeight="1" x14ac:dyDescent="0.2">
      <c r="A114" s="57" t="s">
        <v>264</v>
      </c>
      <c r="B114" s="121" t="s">
        <v>265</v>
      </c>
      <c r="C114" s="64">
        <f t="shared" ref="C114:C118" si="12">SUM(D114:E114)</f>
        <v>0</v>
      </c>
      <c r="D114" s="65"/>
      <c r="E114" s="114">
        <v>0</v>
      </c>
      <c r="F114" s="65"/>
    </row>
    <row r="115" spans="1:6" ht="15" customHeight="1" x14ac:dyDescent="0.2">
      <c r="A115" s="57" t="s">
        <v>266</v>
      </c>
      <c r="B115" s="121" t="s">
        <v>267</v>
      </c>
      <c r="C115" s="64">
        <f t="shared" si="12"/>
        <v>0</v>
      </c>
      <c r="D115" s="65"/>
      <c r="E115" s="114">
        <v>0</v>
      </c>
      <c r="F115" s="65"/>
    </row>
    <row r="116" spans="1:6" ht="15" customHeight="1" x14ac:dyDescent="0.2">
      <c r="A116" s="57" t="s">
        <v>268</v>
      </c>
      <c r="B116" s="121" t="s">
        <v>269</v>
      </c>
      <c r="C116" s="64">
        <f t="shared" si="12"/>
        <v>0</v>
      </c>
      <c r="D116" s="65"/>
      <c r="E116" s="114">
        <v>0</v>
      </c>
      <c r="F116" s="65"/>
    </row>
    <row r="117" spans="1:6" ht="15" customHeight="1" x14ac:dyDescent="0.2">
      <c r="A117" s="57" t="s">
        <v>270</v>
      </c>
      <c r="B117" s="121" t="s">
        <v>271</v>
      </c>
      <c r="C117" s="64">
        <f t="shared" si="12"/>
        <v>0</v>
      </c>
      <c r="D117" s="65"/>
      <c r="E117" s="114">
        <v>0</v>
      </c>
      <c r="F117" s="65"/>
    </row>
    <row r="118" spans="1:6" ht="15" customHeight="1" x14ac:dyDescent="0.2">
      <c r="A118" s="187" t="s">
        <v>272</v>
      </c>
      <c r="B118" s="185" t="s">
        <v>273</v>
      </c>
      <c r="C118" s="182">
        <f t="shared" si="12"/>
        <v>0</v>
      </c>
      <c r="D118" s="183"/>
      <c r="E118" s="184">
        <v>0</v>
      </c>
      <c r="F118" s="183"/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43" t="s">
        <v>368</v>
      </c>
      <c r="B120" s="344"/>
      <c r="C120" s="344"/>
      <c r="D120" s="344"/>
      <c r="E120" s="344"/>
      <c r="F120" s="344"/>
    </row>
    <row r="121" spans="1:6" ht="14.1" customHeight="1" x14ac:dyDescent="0.2">
      <c r="A121" s="351" t="s">
        <v>1</v>
      </c>
      <c r="B121" s="355" t="s">
        <v>94</v>
      </c>
      <c r="C121" s="351" t="s">
        <v>65</v>
      </c>
      <c r="D121" s="351" t="s">
        <v>63</v>
      </c>
      <c r="E121" s="357" t="s">
        <v>64</v>
      </c>
      <c r="F121" s="341" t="s">
        <v>117</v>
      </c>
    </row>
    <row r="122" spans="1:6" s="141" customFormat="1" ht="15" customHeight="1" x14ac:dyDescent="0.2">
      <c r="A122" s="352"/>
      <c r="B122" s="356"/>
      <c r="C122" s="352"/>
      <c r="D122" s="352"/>
      <c r="E122" s="358"/>
      <c r="F122" s="342"/>
    </row>
    <row r="123" spans="1:6" ht="15" customHeight="1" x14ac:dyDescent="0.2">
      <c r="A123" s="338" t="s">
        <v>274</v>
      </c>
      <c r="B123" s="339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275</v>
      </c>
      <c r="C124" s="70">
        <f>SUM(D124:E124)</f>
        <v>0</v>
      </c>
      <c r="D124" s="68"/>
      <c r="E124" s="247">
        <v>0</v>
      </c>
      <c r="F124" s="246"/>
    </row>
    <row r="125" spans="1:6" ht="15" customHeight="1" x14ac:dyDescent="0.2">
      <c r="A125" s="60">
        <v>1301026</v>
      </c>
      <c r="B125" s="121" t="s">
        <v>276</v>
      </c>
      <c r="C125" s="71">
        <f t="shared" ref="C125:C127" si="13">SUM(D125:E125)</f>
        <v>0</v>
      </c>
      <c r="D125" s="69"/>
      <c r="E125" s="248">
        <v>0</v>
      </c>
      <c r="F125" s="246"/>
    </row>
    <row r="126" spans="1:6" ht="15" customHeight="1" x14ac:dyDescent="0.2">
      <c r="A126" s="60">
        <v>1301029</v>
      </c>
      <c r="B126" s="121" t="s">
        <v>277</v>
      </c>
      <c r="C126" s="71">
        <f t="shared" si="13"/>
        <v>0</v>
      </c>
      <c r="D126" s="69"/>
      <c r="E126" s="248">
        <v>0</v>
      </c>
      <c r="F126" s="246"/>
    </row>
    <row r="127" spans="1:6" ht="15" customHeight="1" x14ac:dyDescent="0.2">
      <c r="A127" s="60">
        <v>1301030</v>
      </c>
      <c r="B127" s="121" t="s">
        <v>278</v>
      </c>
      <c r="C127" s="71">
        <f t="shared" si="13"/>
        <v>0</v>
      </c>
      <c r="D127" s="69"/>
      <c r="E127" s="248">
        <v>0</v>
      </c>
      <c r="F127" s="246"/>
    </row>
    <row r="128" spans="1:6" ht="15" customHeight="1" x14ac:dyDescent="0.2">
      <c r="A128" s="345" t="s">
        <v>62</v>
      </c>
      <c r="B128" s="34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8" t="s">
        <v>369</v>
      </c>
      <c r="B130" s="339"/>
      <c r="C130" s="334"/>
      <c r="D130" s="335"/>
      <c r="E130" s="335"/>
      <c r="F130" s="336"/>
    </row>
    <row r="131" spans="1:6" ht="15" customHeight="1" x14ac:dyDescent="0.2">
      <c r="A131" s="59">
        <v>1601110</v>
      </c>
      <c r="B131" s="128" t="s">
        <v>279</v>
      </c>
      <c r="C131" s="233">
        <f t="shared" ref="C131:C139" si="14">SUM(D131:E131)</f>
        <v>0</v>
      </c>
      <c r="D131" s="234"/>
      <c r="E131" s="253">
        <v>0</v>
      </c>
      <c r="F131" s="249"/>
    </row>
    <row r="132" spans="1:6" ht="23.25" customHeight="1" x14ac:dyDescent="0.2">
      <c r="A132" s="197">
        <v>1602203</v>
      </c>
      <c r="B132" s="198" t="s">
        <v>280</v>
      </c>
      <c r="C132" s="204">
        <f t="shared" si="14"/>
        <v>0</v>
      </c>
      <c r="D132" s="205"/>
      <c r="E132" s="254">
        <v>0</v>
      </c>
      <c r="F132" s="250"/>
    </row>
    <row r="133" spans="1:6" ht="18" customHeight="1" x14ac:dyDescent="0.2">
      <c r="A133" s="60">
        <v>1602206</v>
      </c>
      <c r="B133" s="121" t="s">
        <v>281</v>
      </c>
      <c r="C133" s="188">
        <f t="shared" si="14"/>
        <v>0</v>
      </c>
      <c r="D133" s="189"/>
      <c r="E133" s="255">
        <v>0</v>
      </c>
      <c r="F133" s="250"/>
    </row>
    <row r="134" spans="1:6" ht="18" customHeight="1" x14ac:dyDescent="0.2">
      <c r="A134" s="60">
        <v>1602221</v>
      </c>
      <c r="B134" s="121" t="s">
        <v>282</v>
      </c>
      <c r="C134" s="188">
        <f t="shared" si="14"/>
        <v>0</v>
      </c>
      <c r="D134" s="189"/>
      <c r="E134" s="255">
        <v>0</v>
      </c>
      <c r="F134" s="250"/>
    </row>
    <row r="135" spans="1:6" ht="18" customHeight="1" x14ac:dyDescent="0.2">
      <c r="A135" s="60">
        <v>1602222</v>
      </c>
      <c r="B135" s="121" t="s">
        <v>283</v>
      </c>
      <c r="C135" s="188">
        <f t="shared" si="14"/>
        <v>0</v>
      </c>
      <c r="D135" s="189"/>
      <c r="E135" s="255">
        <v>0</v>
      </c>
      <c r="F135" s="250"/>
    </row>
    <row r="136" spans="1:6" ht="22.5" customHeight="1" x14ac:dyDescent="0.2">
      <c r="A136" s="60">
        <v>1602223</v>
      </c>
      <c r="B136" s="121" t="s">
        <v>284</v>
      </c>
      <c r="C136" s="188">
        <f t="shared" si="14"/>
        <v>0</v>
      </c>
      <c r="D136" s="189"/>
      <c r="E136" s="255">
        <v>0</v>
      </c>
      <c r="F136" s="250"/>
    </row>
    <row r="137" spans="1:6" ht="24" customHeight="1" x14ac:dyDescent="0.2">
      <c r="A137" s="60">
        <v>1602224</v>
      </c>
      <c r="B137" s="121" t="s">
        <v>285</v>
      </c>
      <c r="C137" s="188">
        <f t="shared" si="14"/>
        <v>0</v>
      </c>
      <c r="D137" s="189"/>
      <c r="E137" s="255">
        <v>0</v>
      </c>
      <c r="F137" s="250"/>
    </row>
    <row r="138" spans="1:6" ht="21.75" customHeight="1" x14ac:dyDescent="0.2">
      <c r="A138" s="60">
        <v>1602225</v>
      </c>
      <c r="B138" s="121" t="s">
        <v>286</v>
      </c>
      <c r="C138" s="188">
        <f t="shared" si="14"/>
        <v>0</v>
      </c>
      <c r="D138" s="189"/>
      <c r="E138" s="255">
        <v>0</v>
      </c>
      <c r="F138" s="250"/>
    </row>
    <row r="139" spans="1:6" ht="15" customHeight="1" x14ac:dyDescent="0.2">
      <c r="A139" s="60">
        <v>1602231</v>
      </c>
      <c r="B139" s="121" t="s">
        <v>287</v>
      </c>
      <c r="C139" s="188">
        <f t="shared" si="14"/>
        <v>0</v>
      </c>
      <c r="D139" s="189"/>
      <c r="E139" s="255">
        <v>0</v>
      </c>
      <c r="F139" s="251"/>
    </row>
    <row r="140" spans="1:6" ht="15" customHeight="1" x14ac:dyDescent="0.2">
      <c r="A140" s="345" t="s">
        <v>62</v>
      </c>
      <c r="B140" s="346"/>
      <c r="C140" s="72">
        <f>SUM(C131:C139)</f>
        <v>0</v>
      </c>
      <c r="D140" s="72">
        <f t="shared" ref="D140:F140" si="15">SUM(D131:D139)</f>
        <v>0</v>
      </c>
      <c r="E140" s="256">
        <f t="shared" si="15"/>
        <v>0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8" t="s">
        <v>288</v>
      </c>
      <c r="B142" s="339"/>
      <c r="C142" s="334"/>
      <c r="D142" s="335"/>
      <c r="E142" s="335"/>
      <c r="F142" s="336"/>
    </row>
    <row r="143" spans="1:6" ht="15" customHeight="1" x14ac:dyDescent="0.2">
      <c r="A143" s="59" t="s">
        <v>289</v>
      </c>
      <c r="B143" s="128" t="s">
        <v>290</v>
      </c>
      <c r="C143" s="70">
        <f>SUM(D143:E143)</f>
        <v>0</v>
      </c>
      <c r="D143" s="194"/>
      <c r="E143" s="247">
        <v>0</v>
      </c>
      <c r="F143" s="257"/>
    </row>
    <row r="144" spans="1:6" ht="15" customHeight="1" x14ac:dyDescent="0.2">
      <c r="A144" s="60" t="s">
        <v>291</v>
      </c>
      <c r="B144" s="121" t="s">
        <v>370</v>
      </c>
      <c r="C144" s="190">
        <f>SUM(D144:E144)</f>
        <v>0</v>
      </c>
      <c r="D144" s="195"/>
      <c r="E144" s="260">
        <v>0</v>
      </c>
      <c r="F144" s="250"/>
    </row>
    <row r="145" spans="1:6" ht="15" customHeight="1" x14ac:dyDescent="0.2">
      <c r="A145" s="60"/>
      <c r="B145" s="129" t="s">
        <v>371</v>
      </c>
      <c r="C145" s="73">
        <f>SUM(D145:E145)</f>
        <v>0</v>
      </c>
      <c r="D145" s="196"/>
      <c r="E145" s="261">
        <v>0</v>
      </c>
      <c r="F145" s="246"/>
    </row>
    <row r="146" spans="1:6" ht="15" customHeight="1" x14ac:dyDescent="0.2">
      <c r="A146" s="60"/>
      <c r="B146" s="121" t="s">
        <v>292</v>
      </c>
      <c r="C146" s="73">
        <f>SUM(D146:E146)</f>
        <v>0</v>
      </c>
      <c r="D146" s="224"/>
      <c r="E146" s="255">
        <v>0</v>
      </c>
      <c r="F146" s="250"/>
    </row>
    <row r="147" spans="1:6" ht="15" customHeight="1" x14ac:dyDescent="0.2">
      <c r="A147" s="60"/>
      <c r="B147" s="121" t="s">
        <v>293</v>
      </c>
      <c r="C147" s="191">
        <f>SUM(D147:E147)</f>
        <v>0</v>
      </c>
      <c r="D147" s="224"/>
      <c r="E147" s="262">
        <v>0</v>
      </c>
      <c r="F147" s="258"/>
    </row>
    <row r="148" spans="1:6" ht="15" customHeight="1" x14ac:dyDescent="0.2">
      <c r="A148" s="345" t="s">
        <v>62</v>
      </c>
      <c r="B148" s="346"/>
      <c r="C148" s="159">
        <f>SUM(C143:C147)</f>
        <v>0</v>
      </c>
      <c r="D148" s="159">
        <f t="shared" ref="D148" si="16">SUM(D143:D147)</f>
        <v>0</v>
      </c>
      <c r="E148" s="263">
        <f>SUM(E143:E147)</f>
        <v>0</v>
      </c>
      <c r="F148" s="259">
        <f>SUM(F143:F147)</f>
        <v>0</v>
      </c>
    </row>
    <row r="149" spans="1:6" ht="15" customHeight="1" x14ac:dyDescent="0.2">
      <c r="A149" s="130"/>
      <c r="B149" s="337"/>
      <c r="C149" s="337"/>
      <c r="D149" s="337"/>
      <c r="E149" s="337"/>
      <c r="F149" s="337"/>
    </row>
    <row r="150" spans="1:6" ht="15" customHeight="1" x14ac:dyDescent="0.2">
      <c r="A150" s="353" t="s">
        <v>294</v>
      </c>
      <c r="B150" s="354"/>
      <c r="C150" s="345"/>
      <c r="D150" s="347"/>
      <c r="E150" s="347"/>
      <c r="F150" s="346"/>
    </row>
    <row r="151" spans="1:6" ht="15" customHeight="1" x14ac:dyDescent="0.2">
      <c r="A151" s="197">
        <v>1707001</v>
      </c>
      <c r="B151" s="198" t="s">
        <v>295</v>
      </c>
      <c r="C151" s="74">
        <f>SUM(D151:E151)</f>
        <v>0</v>
      </c>
      <c r="D151" s="237"/>
      <c r="E151" s="113">
        <v>0</v>
      </c>
      <c r="F151" s="257"/>
    </row>
    <row r="152" spans="1:6" ht="15" customHeight="1" x14ac:dyDescent="0.2">
      <c r="A152" s="60">
        <v>1707002</v>
      </c>
      <c r="B152" s="121" t="s">
        <v>296</v>
      </c>
      <c r="C152" s="75">
        <f t="shared" ref="C152:C154" si="17">SUM(D152:E152)</f>
        <v>0</v>
      </c>
      <c r="D152" s="213"/>
      <c r="E152" s="114">
        <v>0</v>
      </c>
      <c r="F152" s="250"/>
    </row>
    <row r="153" spans="1:6" ht="15" customHeight="1" x14ac:dyDescent="0.2">
      <c r="A153" s="60">
        <v>1707004</v>
      </c>
      <c r="B153" s="121" t="s">
        <v>297</v>
      </c>
      <c r="C153" s="75">
        <f t="shared" si="17"/>
        <v>0</v>
      </c>
      <c r="D153" s="213"/>
      <c r="E153" s="114">
        <v>0</v>
      </c>
      <c r="F153" s="250"/>
    </row>
    <row r="154" spans="1:6" ht="15" customHeight="1" x14ac:dyDescent="0.2">
      <c r="A154" s="61">
        <v>1707030</v>
      </c>
      <c r="B154" s="129" t="s">
        <v>298</v>
      </c>
      <c r="C154" s="131">
        <f t="shared" si="17"/>
        <v>0</v>
      </c>
      <c r="D154" s="214"/>
      <c r="E154" s="115">
        <v>0</v>
      </c>
      <c r="F154" s="250"/>
    </row>
    <row r="155" spans="1:6" ht="15" customHeight="1" x14ac:dyDescent="0.2">
      <c r="A155" s="62" t="s">
        <v>299</v>
      </c>
      <c r="B155" s="121" t="s">
        <v>300</v>
      </c>
      <c r="C155" s="188">
        <f>SUM(D155:E155)</f>
        <v>0</v>
      </c>
      <c r="D155" s="210"/>
      <c r="E155" s="255">
        <v>0</v>
      </c>
      <c r="F155" s="250"/>
    </row>
    <row r="156" spans="1:6" ht="15" customHeight="1" x14ac:dyDescent="0.2">
      <c r="A156" s="62" t="s">
        <v>301</v>
      </c>
      <c r="B156" s="121" t="s">
        <v>302</v>
      </c>
      <c r="C156" s="188">
        <f>SUM(D156:E156)</f>
        <v>0</v>
      </c>
      <c r="D156" s="210"/>
      <c r="E156" s="255">
        <v>0</v>
      </c>
      <c r="F156" s="250"/>
    </row>
    <row r="157" spans="1:6" ht="15" customHeight="1" x14ac:dyDescent="0.2">
      <c r="A157" s="62" t="s">
        <v>303</v>
      </c>
      <c r="B157" s="121" t="s">
        <v>304</v>
      </c>
      <c r="C157" s="238">
        <f>SUM(D157:E157)</f>
        <v>0</v>
      </c>
      <c r="D157" s="211"/>
      <c r="E157" s="262">
        <v>0</v>
      </c>
      <c r="F157" s="258"/>
    </row>
    <row r="158" spans="1:6" ht="15" customHeight="1" x14ac:dyDescent="0.2">
      <c r="A158" s="345" t="s">
        <v>62</v>
      </c>
      <c r="B158" s="346"/>
      <c r="C158" s="72">
        <f>SUM(C151:C157)</f>
        <v>0</v>
      </c>
      <c r="D158" s="212">
        <f t="shared" ref="D158:F158" si="18">SUM(D151:D157)</f>
        <v>0</v>
      </c>
      <c r="E158" s="256">
        <f t="shared" si="18"/>
        <v>0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8" t="s">
        <v>305</v>
      </c>
      <c r="B160" s="339"/>
      <c r="C160" s="345"/>
      <c r="D160" s="347"/>
      <c r="E160" s="347"/>
      <c r="F160" s="346"/>
    </row>
    <row r="161" spans="1:6" ht="15" customHeight="1" x14ac:dyDescent="0.2">
      <c r="A161" s="61"/>
      <c r="B161" s="121" t="s">
        <v>306</v>
      </c>
      <c r="C161" s="204">
        <f>SUM(D161:E161)</f>
        <v>0</v>
      </c>
      <c r="D161" s="240"/>
      <c r="E161" s="266">
        <v>0</v>
      </c>
      <c r="F161" s="264"/>
    </row>
    <row r="162" spans="1:6" ht="15" customHeight="1" x14ac:dyDescent="0.2">
      <c r="A162" s="62" t="s">
        <v>307</v>
      </c>
      <c r="B162" s="121" t="s">
        <v>308</v>
      </c>
      <c r="C162" s="188">
        <f>SUM(D162:E162)</f>
        <v>0</v>
      </c>
      <c r="D162" s="210"/>
      <c r="E162" s="255">
        <v>0</v>
      </c>
      <c r="F162" s="246"/>
    </row>
    <row r="163" spans="1:6" ht="15" customHeight="1" x14ac:dyDescent="0.2">
      <c r="A163" s="61">
        <v>1801042</v>
      </c>
      <c r="B163" s="121" t="s">
        <v>309</v>
      </c>
      <c r="C163" s="75">
        <f>SUM(D163:E163)</f>
        <v>0</v>
      </c>
      <c r="D163" s="213"/>
      <c r="E163" s="114">
        <v>0</v>
      </c>
      <c r="F163" s="265"/>
    </row>
    <row r="164" spans="1:6" ht="15" customHeight="1" x14ac:dyDescent="0.2">
      <c r="A164" s="345" t="s">
        <v>62</v>
      </c>
      <c r="B164" s="34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8" t="s">
        <v>310</v>
      </c>
      <c r="B166" s="339"/>
      <c r="C166" s="345"/>
      <c r="D166" s="347"/>
      <c r="E166" s="347"/>
      <c r="F166" s="346"/>
    </row>
    <row r="167" spans="1:6" ht="15" customHeight="1" x14ac:dyDescent="0.2">
      <c r="A167" s="61"/>
      <c r="B167" s="121" t="s">
        <v>311</v>
      </c>
      <c r="C167" s="241">
        <f>SUM(D167:E167)</f>
        <v>0</v>
      </c>
      <c r="D167" s="240"/>
      <c r="E167" s="266">
        <v>0</v>
      </c>
      <c r="F167" s="264"/>
    </row>
    <row r="168" spans="1:6" ht="15" customHeight="1" x14ac:dyDescent="0.2">
      <c r="A168" s="61">
        <v>1901022</v>
      </c>
      <c r="B168" s="129" t="s">
        <v>312</v>
      </c>
      <c r="C168" s="199">
        <f>SUM(D168:E168)</f>
        <v>0</v>
      </c>
      <c r="D168" s="227"/>
      <c r="E168" s="267">
        <v>0</v>
      </c>
      <c r="F168" s="265"/>
    </row>
    <row r="169" spans="1:6" ht="15" customHeight="1" x14ac:dyDescent="0.2">
      <c r="A169" s="345" t="s">
        <v>62</v>
      </c>
      <c r="B169" s="346"/>
      <c r="C169" s="155">
        <f>SUM(C167:C168)</f>
        <v>0</v>
      </c>
      <c r="D169" s="228">
        <f>SUM(D167:D168)</f>
        <v>0</v>
      </c>
      <c r="E169" s="268">
        <f>SUM(E167:E168)</f>
        <v>0</v>
      </c>
      <c r="F169" s="192"/>
    </row>
    <row r="170" spans="1:6" ht="15" customHeight="1" x14ac:dyDescent="0.2">
      <c r="A170" s="348"/>
      <c r="B170" s="348"/>
      <c r="C170" s="348"/>
      <c r="D170" s="348"/>
      <c r="E170" s="348"/>
      <c r="F170" s="348"/>
    </row>
    <row r="171" spans="1:6" ht="15" customHeight="1" x14ac:dyDescent="0.2">
      <c r="A171" s="338" t="s">
        <v>313</v>
      </c>
      <c r="B171" s="339"/>
      <c r="C171" s="243"/>
      <c r="D171" s="193"/>
      <c r="E171" s="193"/>
      <c r="F171" s="192"/>
    </row>
    <row r="172" spans="1:6" ht="15" customHeight="1" x14ac:dyDescent="0.2">
      <c r="A172" s="60"/>
      <c r="B172" s="128" t="s">
        <v>314</v>
      </c>
      <c r="C172" s="204">
        <f>SUM(D172:E172)</f>
        <v>2</v>
      </c>
      <c r="D172" s="242"/>
      <c r="E172" s="113">
        <v>2</v>
      </c>
      <c r="F172" s="264"/>
    </row>
    <row r="173" spans="1:6" ht="15" customHeight="1" x14ac:dyDescent="0.2">
      <c r="A173" s="60"/>
      <c r="B173" s="121" t="s">
        <v>315</v>
      </c>
      <c r="C173" s="188">
        <f>SUM(D173:E173)</f>
        <v>2</v>
      </c>
      <c r="D173" s="65"/>
      <c r="E173" s="114">
        <v>2</v>
      </c>
      <c r="F173" s="246"/>
    </row>
    <row r="174" spans="1:6" ht="15" customHeight="1" x14ac:dyDescent="0.2">
      <c r="A174" s="60">
        <v>2001015</v>
      </c>
      <c r="B174" s="198" t="s">
        <v>316</v>
      </c>
      <c r="C174" s="75">
        <f>SUM(D174:E174)</f>
        <v>2</v>
      </c>
      <c r="D174" s="65"/>
      <c r="E174" s="114">
        <v>2</v>
      </c>
      <c r="F174" s="246"/>
    </row>
    <row r="175" spans="1:6" ht="15" customHeight="1" x14ac:dyDescent="0.2">
      <c r="A175" s="60"/>
      <c r="B175" s="121" t="s">
        <v>317</v>
      </c>
      <c r="C175" s="75">
        <f t="shared" ref="C175:C176" si="19">SUM(D175:E175)</f>
        <v>22</v>
      </c>
      <c r="D175" s="65"/>
      <c r="E175" s="114">
        <v>22</v>
      </c>
      <c r="F175" s="246"/>
    </row>
    <row r="176" spans="1:6" ht="15" customHeight="1" x14ac:dyDescent="0.2">
      <c r="A176" s="200"/>
      <c r="B176" s="198" t="s">
        <v>318</v>
      </c>
      <c r="C176" s="75">
        <f t="shared" si="19"/>
        <v>0</v>
      </c>
      <c r="D176" s="201"/>
      <c r="E176" s="270">
        <v>0</v>
      </c>
      <c r="F176" s="246"/>
    </row>
    <row r="177" spans="1:6" ht="15" customHeight="1" x14ac:dyDescent="0.2">
      <c r="A177" s="345" t="s">
        <v>62</v>
      </c>
      <c r="B177" s="346"/>
      <c r="C177" s="155">
        <f>SUM(C172:C176)</f>
        <v>28</v>
      </c>
      <c r="D177" s="155">
        <f t="shared" ref="D177:E177" si="20">SUM(D172:D176)</f>
        <v>0</v>
      </c>
      <c r="E177" s="271">
        <f t="shared" si="20"/>
        <v>28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8" t="s">
        <v>319</v>
      </c>
      <c r="B179" s="339"/>
      <c r="C179" s="338"/>
      <c r="D179" s="339"/>
      <c r="E179" s="339"/>
      <c r="F179" s="340"/>
    </row>
    <row r="180" spans="1:6" ht="15" customHeight="1" x14ac:dyDescent="0.2">
      <c r="A180" s="59">
        <v>2101001</v>
      </c>
      <c r="B180" s="128" t="s">
        <v>320</v>
      </c>
      <c r="C180" s="74">
        <f>SUM(D180:E180)</f>
        <v>0</v>
      </c>
      <c r="D180" s="63"/>
      <c r="E180" s="275"/>
      <c r="F180" s="272"/>
    </row>
    <row r="181" spans="1:6" ht="15" customHeight="1" x14ac:dyDescent="0.2">
      <c r="A181" s="60">
        <v>2105004</v>
      </c>
      <c r="B181" s="121" t="s">
        <v>321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 x14ac:dyDescent="0.2">
      <c r="A182" s="60">
        <v>2105005</v>
      </c>
      <c r="B182" s="121" t="s">
        <v>322</v>
      </c>
      <c r="C182" s="75">
        <f t="shared" si="21"/>
        <v>0</v>
      </c>
      <c r="D182" s="65"/>
      <c r="E182" s="276"/>
      <c r="F182" s="246"/>
    </row>
    <row r="183" spans="1:6" ht="15" customHeight="1" x14ac:dyDescent="0.2">
      <c r="A183" s="60">
        <v>2105006</v>
      </c>
      <c r="B183" s="121" t="s">
        <v>323</v>
      </c>
      <c r="C183" s="75">
        <f t="shared" si="21"/>
        <v>0</v>
      </c>
      <c r="D183" s="65"/>
      <c r="E183" s="276"/>
      <c r="F183" s="246"/>
    </row>
    <row r="184" spans="1:6" ht="15" customHeight="1" x14ac:dyDescent="0.2">
      <c r="A184" s="60">
        <v>2105007</v>
      </c>
      <c r="B184" s="121" t="s">
        <v>324</v>
      </c>
      <c r="C184" s="75">
        <f t="shared" si="21"/>
        <v>0</v>
      </c>
      <c r="D184" s="65"/>
      <c r="E184" s="276"/>
      <c r="F184" s="246"/>
    </row>
    <row r="185" spans="1:6" ht="15" customHeight="1" x14ac:dyDescent="0.2">
      <c r="A185" s="61">
        <v>2107003</v>
      </c>
      <c r="B185" s="129" t="s">
        <v>325</v>
      </c>
      <c r="C185" s="131">
        <f t="shared" si="21"/>
        <v>0</v>
      </c>
      <c r="D185" s="67"/>
      <c r="E185" s="276"/>
      <c r="F185" s="273"/>
    </row>
    <row r="186" spans="1:6" ht="15" customHeight="1" x14ac:dyDescent="0.2">
      <c r="A186" s="345" t="s">
        <v>62</v>
      </c>
      <c r="B186" s="34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37"/>
      <c r="B187" s="337"/>
      <c r="C187" s="337"/>
      <c r="D187" s="337"/>
      <c r="E187" s="337"/>
      <c r="F187" s="337"/>
    </row>
    <row r="188" spans="1:6" ht="15" customHeight="1" x14ac:dyDescent="0.2">
      <c r="A188" s="338" t="s">
        <v>104</v>
      </c>
      <c r="B188" s="339"/>
      <c r="C188" s="334"/>
      <c r="D188" s="335"/>
      <c r="E188" s="335"/>
      <c r="F188" s="336"/>
    </row>
    <row r="189" spans="1:6" ht="15" customHeight="1" x14ac:dyDescent="0.2">
      <c r="A189" s="62"/>
      <c r="B189" s="128" t="s">
        <v>326</v>
      </c>
      <c r="C189" s="188">
        <f t="shared" ref="C189:C194" si="22">SUM(D189:E189)</f>
        <v>0</v>
      </c>
      <c r="D189" s="225"/>
      <c r="E189" s="266">
        <v>0</v>
      </c>
      <c r="F189" s="272"/>
    </row>
    <row r="190" spans="1:6" ht="15" customHeight="1" x14ac:dyDescent="0.2">
      <c r="A190" s="202"/>
      <c r="B190" s="121" t="s">
        <v>327</v>
      </c>
      <c r="C190" s="188">
        <f t="shared" si="22"/>
        <v>0</v>
      </c>
      <c r="D190" s="226"/>
      <c r="E190" s="255">
        <v>0</v>
      </c>
      <c r="F190" s="246"/>
    </row>
    <row r="191" spans="1:6" ht="15" customHeight="1" x14ac:dyDescent="0.2">
      <c r="A191" s="60" t="s">
        <v>328</v>
      </c>
      <c r="B191" s="121" t="s">
        <v>329</v>
      </c>
      <c r="C191" s="188">
        <f t="shared" si="22"/>
        <v>20</v>
      </c>
      <c r="D191" s="210"/>
      <c r="E191" s="255">
        <v>20</v>
      </c>
      <c r="F191" s="246"/>
    </row>
    <row r="192" spans="1:6" ht="15" customHeight="1" x14ac:dyDescent="0.2">
      <c r="A192" s="62"/>
      <c r="B192" s="129" t="s">
        <v>330</v>
      </c>
      <c r="C192" s="188">
        <f t="shared" si="22"/>
        <v>27</v>
      </c>
      <c r="D192" s="210"/>
      <c r="E192" s="255">
        <v>27</v>
      </c>
      <c r="F192" s="246"/>
    </row>
    <row r="193" spans="1:6" ht="15" customHeight="1" x14ac:dyDescent="0.2">
      <c r="A193" s="62"/>
      <c r="B193" s="129" t="s">
        <v>331</v>
      </c>
      <c r="C193" s="188">
        <f t="shared" si="22"/>
        <v>12</v>
      </c>
      <c r="D193" s="210"/>
      <c r="E193" s="255">
        <v>12</v>
      </c>
      <c r="F193" s="246"/>
    </row>
    <row r="194" spans="1:6" ht="15" customHeight="1" x14ac:dyDescent="0.2">
      <c r="A194" s="203"/>
      <c r="B194" s="129" t="s">
        <v>332</v>
      </c>
      <c r="C194" s="199">
        <f t="shared" si="22"/>
        <v>3</v>
      </c>
      <c r="D194" s="226"/>
      <c r="E194" s="277">
        <v>3</v>
      </c>
      <c r="F194" s="246"/>
    </row>
    <row r="195" spans="1:6" ht="15" customHeight="1" x14ac:dyDescent="0.2">
      <c r="A195" s="62"/>
      <c r="B195" s="129" t="s">
        <v>333</v>
      </c>
      <c r="C195" s="188">
        <f t="shared" ref="C195:C205" si="23">SUM(D195:E195)</f>
        <v>38</v>
      </c>
      <c r="D195" s="210"/>
      <c r="E195" s="255">
        <v>38</v>
      </c>
      <c r="F195" s="246"/>
    </row>
    <row r="196" spans="1:6" ht="15" customHeight="1" x14ac:dyDescent="0.2">
      <c r="A196" s="236" t="s">
        <v>377</v>
      </c>
      <c r="B196" s="121" t="s">
        <v>335</v>
      </c>
      <c r="C196" s="188">
        <f t="shared" si="23"/>
        <v>0</v>
      </c>
      <c r="D196" s="210"/>
      <c r="E196" s="255">
        <v>0</v>
      </c>
      <c r="F196" s="246"/>
    </row>
    <row r="197" spans="1:6" ht="15" customHeight="1" x14ac:dyDescent="0.2">
      <c r="A197" s="62" t="s">
        <v>334</v>
      </c>
      <c r="B197" s="121" t="s">
        <v>337</v>
      </c>
      <c r="C197" s="188">
        <f t="shared" si="23"/>
        <v>0</v>
      </c>
      <c r="D197" s="210"/>
      <c r="E197" s="255">
        <v>0</v>
      </c>
      <c r="F197" s="246"/>
    </row>
    <row r="198" spans="1:6" ht="15" customHeight="1" x14ac:dyDescent="0.2">
      <c r="A198" s="62" t="s">
        <v>336</v>
      </c>
      <c r="B198" s="121" t="s">
        <v>339</v>
      </c>
      <c r="C198" s="188">
        <f t="shared" si="23"/>
        <v>0</v>
      </c>
      <c r="D198" s="210"/>
      <c r="E198" s="255">
        <v>0</v>
      </c>
      <c r="F198" s="246"/>
    </row>
    <row r="199" spans="1:6" ht="15" customHeight="1" x14ac:dyDescent="0.2">
      <c r="A199" s="62" t="s">
        <v>338</v>
      </c>
      <c r="B199" s="121" t="s">
        <v>341</v>
      </c>
      <c r="C199" s="188">
        <f t="shared" si="23"/>
        <v>0</v>
      </c>
      <c r="D199" s="210"/>
      <c r="E199" s="255">
        <v>0</v>
      </c>
      <c r="F199" s="246"/>
    </row>
    <row r="200" spans="1:6" ht="15" customHeight="1" x14ac:dyDescent="0.2">
      <c r="A200" s="62" t="s">
        <v>340</v>
      </c>
      <c r="B200" s="121" t="s">
        <v>343</v>
      </c>
      <c r="C200" s="188">
        <f t="shared" si="23"/>
        <v>0</v>
      </c>
      <c r="D200" s="210"/>
      <c r="E200" s="255">
        <v>0</v>
      </c>
      <c r="F200" s="246"/>
    </row>
    <row r="201" spans="1:6" ht="15" customHeight="1" x14ac:dyDescent="0.2">
      <c r="A201" s="62" t="s">
        <v>342</v>
      </c>
      <c r="B201" s="121" t="s">
        <v>345</v>
      </c>
      <c r="C201" s="188">
        <f t="shared" si="23"/>
        <v>0</v>
      </c>
      <c r="D201" s="210"/>
      <c r="E201" s="255">
        <v>0</v>
      </c>
      <c r="F201" s="246"/>
    </row>
    <row r="202" spans="1:6" ht="15" customHeight="1" x14ac:dyDescent="0.2">
      <c r="A202" s="62" t="s">
        <v>344</v>
      </c>
      <c r="B202" s="121" t="s">
        <v>347</v>
      </c>
      <c r="C202" s="188">
        <f t="shared" si="23"/>
        <v>36</v>
      </c>
      <c r="D202" s="210"/>
      <c r="E202" s="255">
        <v>36</v>
      </c>
      <c r="F202" s="246"/>
    </row>
    <row r="203" spans="1:6" ht="15" customHeight="1" x14ac:dyDescent="0.2">
      <c r="A203" s="62" t="s">
        <v>346</v>
      </c>
      <c r="B203" s="121" t="s">
        <v>349</v>
      </c>
      <c r="C203" s="188">
        <f t="shared" si="23"/>
        <v>0</v>
      </c>
      <c r="D203" s="210"/>
      <c r="E203" s="255">
        <v>0</v>
      </c>
      <c r="F203" s="246"/>
    </row>
    <row r="204" spans="1:6" ht="15" customHeight="1" x14ac:dyDescent="0.2">
      <c r="A204" s="62" t="s">
        <v>348</v>
      </c>
      <c r="B204" s="121" t="s">
        <v>351</v>
      </c>
      <c r="C204" s="188">
        <f t="shared" si="23"/>
        <v>141</v>
      </c>
      <c r="D204" s="210"/>
      <c r="E204" s="255">
        <v>141</v>
      </c>
      <c r="F204" s="250"/>
    </row>
    <row r="205" spans="1:6" ht="15" customHeight="1" x14ac:dyDescent="0.2">
      <c r="A205" s="62" t="s">
        <v>350</v>
      </c>
      <c r="B205" s="185" t="s">
        <v>352</v>
      </c>
      <c r="C205" s="188">
        <f t="shared" si="23"/>
        <v>6</v>
      </c>
      <c r="D205" s="211"/>
      <c r="E205" s="255">
        <v>6</v>
      </c>
      <c r="F205" s="258"/>
    </row>
    <row r="206" spans="1:6" ht="15" customHeight="1" x14ac:dyDescent="0.2">
      <c r="A206" s="345" t="s">
        <v>62</v>
      </c>
      <c r="B206" s="346"/>
      <c r="C206" s="72">
        <f>SUM(C189:C205)</f>
        <v>283</v>
      </c>
      <c r="D206" s="212">
        <f t="shared" ref="D206:F206" si="24">SUM(D189:D205)</f>
        <v>0</v>
      </c>
      <c r="E206" s="256">
        <f t="shared" si="24"/>
        <v>283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A73:B73"/>
    <mergeCell ref="A78:B78"/>
    <mergeCell ref="A88:B88"/>
    <mergeCell ref="A89:B89"/>
    <mergeCell ref="A75:B75"/>
    <mergeCell ref="A80:B80"/>
    <mergeCell ref="A49:B49"/>
    <mergeCell ref="C51:F51"/>
    <mergeCell ref="A54:B54"/>
    <mergeCell ref="C56:F56"/>
    <mergeCell ref="A51:B51"/>
    <mergeCell ref="A56:B56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353</v>
      </c>
      <c r="C2" s="16" t="s">
        <v>354</v>
      </c>
      <c r="D2" s="17" t="s">
        <v>355</v>
      </c>
    </row>
    <row r="3" spans="2:4" ht="19.5" customHeight="1" x14ac:dyDescent="0.2">
      <c r="B3" s="25" t="s">
        <v>356</v>
      </c>
      <c r="C3" s="24" t="s">
        <v>357</v>
      </c>
      <c r="D3" s="19">
        <f>+NOMBRE!AG2</f>
        <v>0</v>
      </c>
    </row>
    <row r="4" spans="2:4" ht="19.5" customHeight="1" x14ac:dyDescent="0.2">
      <c r="B4" s="25" t="s">
        <v>356</v>
      </c>
      <c r="C4" s="24" t="s">
        <v>358</v>
      </c>
      <c r="D4" s="19">
        <f>+NOMBRE!AG3</f>
        <v>0</v>
      </c>
    </row>
    <row r="5" spans="2:4" ht="19.5" customHeight="1" x14ac:dyDescent="0.2">
      <c r="B5" s="25" t="s">
        <v>356</v>
      </c>
      <c r="C5" s="24" t="s">
        <v>359</v>
      </c>
      <c r="D5" s="19">
        <f>+NOMBRE!AG6</f>
        <v>0</v>
      </c>
    </row>
    <row r="6" spans="2:4" ht="31.5" customHeight="1" thickBot="1" x14ac:dyDescent="0.25">
      <c r="B6" s="51" t="s">
        <v>366</v>
      </c>
      <c r="C6" s="209" t="s">
        <v>365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360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361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362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COMUNITARIO DE SALUD FAMILIAR VILLA EL SALAR - 121780 
   / MES:  JUNIO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363</v>
      </c>
      <c r="E5" s="147"/>
      <c r="F5" s="148"/>
      <c r="G5" s="148"/>
      <c r="H5" s="149"/>
    </row>
    <row r="6" spans="1:14" ht="27.75" customHeight="1" x14ac:dyDescent="0.2">
      <c r="B6" s="154" t="s">
        <v>364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Sergio Guzman Solis</cp:lastModifiedBy>
  <cp:revision/>
  <dcterms:created xsi:type="dcterms:W3CDTF">2007-01-29T23:37:08Z</dcterms:created>
  <dcterms:modified xsi:type="dcterms:W3CDTF">2025-07-07T16:45:10Z</dcterms:modified>
  <cp:category/>
  <cp:contentStatus/>
</cp:coreProperties>
</file>