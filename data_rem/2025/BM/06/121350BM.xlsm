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JUNIO\"/>
    </mc:Choice>
  </mc:AlternateContent>
  <xr:revisionPtr revIDLastSave="0" documentId="13_ncr:1_{5BB0BA20-757A-4CC1-BE51-742AE91FB7C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<sst xmlns="http://schemas.openxmlformats.org/spreadsheetml/2006/main" count="452" uniqueCount="397">
  <si>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</si>
  <si>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</si>
  <si>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</si>
  <si>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</si>
  <si>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</si>
  <si>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</si>
  <si>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</si>
  <si>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</si>
  <si>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</si>
  <si>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</si>
  <si>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</si>
  <si>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SRA.CRISTINA CONTRERAS CARRASCO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</si>
  <si>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</si>
  <si>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</si>
  <si>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</si>
  <si>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</si>
  <si>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</si>
  <si>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</si>
  <si>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</si>
  <si>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</si>
  <si>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</si>
  <si>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</si>
  <si>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</si>
  <si>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</si>
  <si>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</si>
  <si>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</si>
  <si>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</si>
  <si>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</si>
  <si>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</si>
  <si>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</si>
  <si>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</si>
  <si>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</si>
  <si>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</si>
  <si>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</si>
  <si>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</si>
  <si>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</si>
  <si>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</si>
  <si>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</si>
  <si>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</si>
  <si>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</si>
  <si>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</si>
  <si>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</si>
  <si>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</si>
  <si>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</si>
  <si>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</si>
  <si>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</si>
  <si>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</si>
  <si>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</si>
  <si>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</si>
  <si>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</si>
  <si>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</si>
  <si>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</si>
  <si>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</si>
  <si>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</si>
  <si>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</si>
  <si>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</si>
  <si>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</si>
  <si>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</si>
  <si>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</si>
  <si>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</si>
  <si>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</si>
  <si>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</si>
  <si>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</si>
  <si>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</si>
  <si>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</si>
  <si>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</si>
  <si>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</si>
  <si>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</si>
  <si>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</si>
  <si>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</si>
  <si>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</si>
  <si>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</si>
  <si>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</si>
  <si>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</si>
  <si>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</si>
  <si>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</si>
  <si>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</si>
  <si>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</si>
  <si>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</si>
  <si>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</si>
  <si>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</si>
  <si>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</si>
  <si>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</si>
  <si>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</si>
  <si>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</si>
  <si>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</si>
  <si>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</si>
  <si>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</si>
  <si>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</si>
  <si>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</si>
  <si>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</si>
  <si>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</si>
  <si>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</si>
  <si>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</si>
  <si>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</si>
  <si>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</si>
  <si>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</si>
  <si>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</si>
  <si>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</si>
  <si>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</si>
  <si>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</si>
  <si>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</si>
  <si>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</si>
  <si>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</si>
  <si>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</si>
  <si>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</si>
  <si>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</si>
  <si>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</si>
  <si>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</si>
  <si>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</si>
  <si>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</si>
  <si>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</si>
  <si>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</si>
  <si>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</si>
  <si>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</si>
  <si>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</si>
  <si>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</si>
  <si>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</si>
  <si>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</si>
  <si>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</si>
  <si>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</si>
  <si>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</si>
  <si>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</si>
  <si>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</si>
  <si>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</si>
  <si>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</si>
  <si>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</si>
  <si>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</si>
  <si>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</si>
  <si>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</si>
  <si>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</si>
  <si>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</si>
  <si>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</si>
  <si>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</si>
  <si>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</si>
  <si>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</si>
  <si>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</si>
  <si>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</si>
  <si>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</si>
  <si>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</si>
  <si>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</si>
  <si>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</si>
  <si>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</si>
  <si>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</si>
  <si>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</si>
  <si>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</si>
  <si>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</si>
  <si>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</si>
  <si>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</si>
  <si>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</si>
  <si>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</si>
  <si>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</si>
  <si>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</si>
  <si>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</si>
  <si>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</si>
  <si>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</si>
  <si>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</si>
  <si>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</si>
  <si>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</si>
  <si>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</si>
  <si>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</si>
  <si>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</si>
  <si>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</si>
  <si>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</si>
  <si>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</si>
  <si>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</si>
  <si>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</si>
  <si>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</si>
  <si>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</si>
  <si>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</si>
  <si>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</si>
  <si>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</si>
  <si>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</si>
  <si>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</si>
  <si>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</si>
  <si>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</si>
  <si>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</si>
  <si>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</si>
  <si>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</si>
  <si>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</si>
  <si>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</si>
  <si>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</si>
  <si>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</si>
  <si>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</si>
  <si>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</si>
  <si>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</si>
  <si>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</si>
  <si>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</si>
  <si>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</si>
  <si>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</si>
  <si>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</si>
  <si>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</si>
  <si>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</si>
  <si>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</si>
  <si>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</si>
  <si>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</si>
  <si>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</si>
  <si>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</si>
  <si>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</si>
  <si>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</si>
  <si>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</si>
  <si>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</si>
  <si>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</si>
  <si>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</si>
  <si>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</si>
  <si>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</si>
  <si>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</si>
  <si>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</si>
  <si>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</si>
  <si>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</si>
  <si>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</si>
  <si>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</si>
  <si>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</si>
  <si>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</si>
  <si>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</si>
  <si>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</si>
  <si>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</si>
  <si>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</si>
  <si>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</si>
  <si>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</si>
  <si>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</si>
  <si>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</si>
  <si>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</si>
  <si>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</si>
  <si>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</si>
  <si>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</si>
  <si>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</si>
  <si>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</si>
  <si>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</si>
  <si>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</si>
  <si>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</si>
  <si>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</si>
  <si>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</si>
  <si>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</si>
  <si>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</si>
  <si>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</si>
  <si>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</si>
  <si>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</si>
  <si>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</si>
  <si>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</si>
  <si>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</si>
  <si>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</si>
  <si>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</si>
  <si>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</si>
  <si>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</si>
  <si>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</si>
  <si>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</si>
  <si>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</si>
  <si>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</si>
  <si>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</si>
  <si>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</si>
  <si>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</si>
  <si>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</si>
  <si>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</si>
  <si>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</si>
  <si>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</si>
  <si>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</si>
  <si>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</si>
  <si>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</si>
  <si>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</si>
  <si>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</si>
  <si>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</si>
  <si>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</si>
  <si>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</si>
  <si>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</si>
  <si>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</si>
  <si>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</si>
  <si>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</si>
  <si>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</si>
  <si>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</si>
  <si>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</si>
  <si>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</si>
  <si>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</si>
  <si>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</si>
  <si>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</si>
  <si>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</si>
  <si>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</si>
  <si>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</si>
  <si>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</si>
  <si>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</si>
  <si>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</si>
  <si>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</si>
  <si>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</si>
  <si>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</si>
  <si>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</si>
  <si>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</si>
  <si>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</si>
  <si>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</si>
  <si>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</si>
  <si>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</si>
  <si>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</si>
  <si>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</si>
  <si>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</si>
  <si>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</si>
  <si>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</si>
  <si>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</si>
  <si>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</si>
  <si>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</si>
  <si>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</si>
  <si>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</si>
  <si>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</si>
  <si>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</si>
  <si>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</si>
  <si>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</si>
  <si>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</si>
  <si>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</si>
  <si>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</si>
  <si>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</si>
  <si>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</si>
  <si>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</si>
  <si>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</si>
  <si>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</si>
  <si>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</si>
  <si>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</si>
  <si>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</si>
  <si>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</si>
  <si>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</si>
  <si>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</si>
  <si>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</si>
  <si>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</si>
  <si>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</si>
  <si>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</si>
  <si>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</si>
  <si>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</si>
  <si>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</si>
  <si>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</si>
  <si>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</si>
  <si>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</si>
  <si>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</si>
  <si>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</si>
  <si>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</si>
  <si>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</si>
  <si>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</si>
  <si>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</si>
  <si>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</si>
  <si>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</si>
  <si>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</si>
  <si>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</si>
  <si>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</si>
  <si>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</si>
  <si>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</si>
  <si>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</si>
  <si>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</si>
  <si>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</si>
  <si>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</si>
  <si>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</si>
  <si>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</si>
  <si>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</si>
  <si>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</si>
  <si>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</si>
  <si>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</si>
  <si>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</si>
  <si>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</si>
  <si>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</si>
  <si>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</si>
  <si>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</si>
  <si>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</si>
  <si>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</si>
  <si>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</si>
  <si>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</si>
  <si>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</si>
  <si>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</si>
  <si>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</si>
  <si>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</si>
  <si>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</si>
  <si>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</si>
  <si>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</si>
  <si>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</si>
  <si>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</si>
  <si>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</si>
  <si>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</si>
  <si>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</si>
  <si>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</si>
  <si>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</si>
  <si>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</si>
  <si>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</si>
  <si>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</si>
  <si>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</si>
  <si>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</si>
  <si>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</si>
  <si>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</si>
  <si>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</si>
  <si>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</si>
  <si>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</si>
  <si>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</si>
  <si>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</si>
  <si>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</si>
  <si>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</si>
  <si>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</si>
  <si>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</si>
  <si>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</si>
  <si>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</si>
  <si>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</si>
  <si>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</si>
  <si>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</si>
  <si>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</si>
  <si>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DE SALUD FAMILIAR LABRANZA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</si>
</sst>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A23" sqref="A2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6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8" zoomScaleNormal="100" workbookViewId="0">
      <selection activeCell="E42" sqref="E4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841</v>
      </c>
      <c r="E21" s="77">
        <f>SUM(E22+E23)</f>
        <v>0</v>
      </c>
      <c r="F21" s="77">
        <f>SUM(F22+F23)</f>
        <v>841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820</v>
      </c>
      <c r="E22" s="78">
        <f>SUM(BM18A!D92:D113)</f>
        <v>0</v>
      </c>
      <c r="F22" s="78">
        <f>SUM(BM18A!E92:E113)</f>
        <v>820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21</v>
      </c>
      <c r="E23" s="78">
        <f>SUM(BM18A!D114:D118)</f>
        <v>0</v>
      </c>
      <c r="F23" s="80">
        <f>SUM(BM18A!E114:E118)</f>
        <v>21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91</v>
      </c>
      <c r="D25" s="80">
        <f>SUM(F25)</f>
        <v>13</v>
      </c>
      <c r="E25" s="100"/>
      <c r="F25" s="93">
        <v>13</v>
      </c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91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20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91</v>
      </c>
      <c r="D35" s="81">
        <f>SUM(F35)</f>
        <v>5</v>
      </c>
      <c r="E35" s="92"/>
      <c r="F35" s="93">
        <v>5</v>
      </c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1</v>
      </c>
      <c r="E36" s="146"/>
      <c r="F36" s="95">
        <v>1</v>
      </c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164</v>
      </c>
      <c r="C43" s="83">
        <f>BM18A!D158</f>
        <v>0</v>
      </c>
      <c r="D43" s="83">
        <f>BM18A!E158</f>
        <v>164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90" t="s">
        <v>104</v>
      </c>
      <c r="B46" s="79">
        <f t="shared" si="4"/>
        <v>224</v>
      </c>
      <c r="C46" s="83">
        <f>BM18A!D148</f>
        <v>0</v>
      </c>
      <c r="D46" s="83">
        <f>BM18A!E148</f>
        <v>224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11</v>
      </c>
      <c r="C48" s="83">
        <f>BM18A!D169</f>
        <v>0</v>
      </c>
      <c r="D48" s="83">
        <f>BM18A!E169</f>
        <v>11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247</v>
      </c>
      <c r="C50" s="79">
        <f>BM18A!D177</f>
        <v>0</v>
      </c>
      <c r="D50" s="79">
        <f>BM18A!E177</f>
        <v>247</v>
      </c>
    </row>
    <row r="51" spans="1:4" ht="16.5" customHeight="1" x14ac:dyDescent="0.2">
      <c r="A51" s="223" t="s">
        <v>109</v>
      </c>
      <c r="B51" s="90">
        <f t="shared" si="4"/>
        <v>3031</v>
      </c>
      <c r="C51" s="81">
        <f>BM18A!D206</f>
        <v>0</v>
      </c>
      <c r="D51" s="81">
        <f>BM18A!E206</f>
        <v>3031</v>
      </c>
    </row>
    <row r="52" spans="1:4" ht="17.25" customHeight="1" x14ac:dyDescent="0.2">
      <c r="A52" s="91" t="s">
        <v>66</v>
      </c>
      <c r="B52" s="77">
        <f>SUM(B42:B51)</f>
        <v>3679</v>
      </c>
      <c r="C52" s="77">
        <f>SUM(C42:C51)</f>
        <v>0</v>
      </c>
      <c r="D52" s="77">
        <f>SUM(D42:D51)</f>
        <v>3679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110</v>
      </c>
      <c r="D60" s="84"/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9196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01" zoomScaleNormal="100" workbookViewId="0">
      <selection activeCell="H122" sqref="H12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66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189</v>
      </c>
      <c r="D95" s="65"/>
      <c r="E95" s="114">
        <v>189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20</v>
      </c>
      <c r="D99" s="65"/>
      <c r="E99" s="114">
        <v>20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6</v>
      </c>
      <c r="D100" s="65"/>
      <c r="E100" s="114">
        <v>6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40</v>
      </c>
      <c r="D102" s="65"/>
      <c r="E102" s="114">
        <v>40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73</v>
      </c>
      <c r="D103" s="65"/>
      <c r="E103" s="114">
        <v>73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1</v>
      </c>
      <c r="D104" s="65"/>
      <c r="E104" s="114">
        <v>1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1</v>
      </c>
      <c r="D105" s="65"/>
      <c r="E105" s="114">
        <v>1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12</v>
      </c>
      <c r="D106" s="65"/>
      <c r="E106" s="114">
        <v>12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79</v>
      </c>
      <c r="D107" s="65"/>
      <c r="E107" s="114">
        <v>79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51</v>
      </c>
      <c r="D109" s="65"/>
      <c r="E109" s="114">
        <v>51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4</v>
      </c>
      <c r="D110" s="65"/>
      <c r="E110" s="114">
        <v>4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163</v>
      </c>
      <c r="D111" s="65"/>
      <c r="E111" s="114">
        <v>163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4</v>
      </c>
      <c r="D112" s="65"/>
      <c r="E112" s="114">
        <v>4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177</v>
      </c>
      <c r="D113" s="65"/>
      <c r="E113" s="114">
        <v>177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20</v>
      </c>
      <c r="D114" s="65"/>
      <c r="E114" s="114">
        <v>20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1</v>
      </c>
      <c r="D115" s="65"/>
      <c r="E115" s="114">
        <v>1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2</v>
      </c>
      <c r="D135" s="189"/>
      <c r="E135" s="255">
        <v>2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66</v>
      </c>
      <c r="B140" s="346"/>
      <c r="C140" s="72">
        <f>SUM(C131:C139)</f>
        <v>2</v>
      </c>
      <c r="D140" s="72">
        <f t="shared" ref="D140:F140" si="15">SUM(D131:D139)</f>
        <v>0</v>
      </c>
      <c r="E140" s="256">
        <f t="shared" si="15"/>
        <v>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224</v>
      </c>
      <c r="D143" s="194"/>
      <c r="E143" s="247">
        <v>224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66</v>
      </c>
      <c r="B148" s="346"/>
      <c r="C148" s="159">
        <f>SUM(C143:C147)</f>
        <v>224</v>
      </c>
      <c r="D148" s="159">
        <f t="shared" ref="D148" si="16">SUM(D143:D147)</f>
        <v>0</v>
      </c>
      <c r="E148" s="263">
        <f>SUM(E143:E147)</f>
        <v>224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49</v>
      </c>
      <c r="D151" s="237"/>
      <c r="E151" s="113">
        <v>49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37</v>
      </c>
      <c r="D152" s="213"/>
      <c r="E152" s="114">
        <v>37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68</v>
      </c>
      <c r="D154" s="214"/>
      <c r="E154" s="115">
        <v>68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9</v>
      </c>
      <c r="D156" s="210"/>
      <c r="E156" s="255">
        <v>9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1</v>
      </c>
      <c r="D157" s="211"/>
      <c r="E157" s="262">
        <v>1</v>
      </c>
      <c r="F157" s="258"/>
    </row>
    <row r="158" spans="1:6" ht="15" customHeight="1" x14ac:dyDescent="0.2">
      <c r="A158" s="345" t="s">
        <v>66</v>
      </c>
      <c r="B158" s="346"/>
      <c r="C158" s="72">
        <f>SUM(C151:C157)</f>
        <v>164</v>
      </c>
      <c r="D158" s="212">
        <f t="shared" ref="D158:F158" si="18">SUM(D151:D157)</f>
        <v>0</v>
      </c>
      <c r="E158" s="256">
        <f t="shared" si="18"/>
        <v>164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11</v>
      </c>
      <c r="D167" s="240"/>
      <c r="E167" s="266">
        <v>11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66</v>
      </c>
      <c r="B169" s="346"/>
      <c r="C169" s="155">
        <f>SUM(C167:C168)</f>
        <v>11</v>
      </c>
      <c r="D169" s="228">
        <f>SUM(D167:D168)</f>
        <v>0</v>
      </c>
      <c r="E169" s="268">
        <f>SUM(E167:E168)</f>
        <v>11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19</v>
      </c>
      <c r="D172" s="242">
        <v>0</v>
      </c>
      <c r="E172" s="113">
        <v>19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8</v>
      </c>
      <c r="D173" s="65">
        <v>0</v>
      </c>
      <c r="E173" s="114">
        <v>8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7</v>
      </c>
      <c r="D174" s="65">
        <v>0</v>
      </c>
      <c r="E174" s="114">
        <v>7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123</v>
      </c>
      <c r="D175" s="65">
        <v>0</v>
      </c>
      <c r="E175" s="114">
        <v>123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90</v>
      </c>
      <c r="D176" s="201">
        <v>0</v>
      </c>
      <c r="E176" s="270">
        <v>90</v>
      </c>
      <c r="F176" s="246"/>
    </row>
    <row r="177" spans="1:6" ht="15" customHeight="1" x14ac:dyDescent="0.2">
      <c r="A177" s="345" t="s">
        <v>66</v>
      </c>
      <c r="B177" s="346"/>
      <c r="C177" s="155">
        <f>SUM(C172:C176)</f>
        <v>247</v>
      </c>
      <c r="D177" s="155">
        <f t="shared" ref="D177:E177" si="20">SUM(D172:D176)</f>
        <v>0</v>
      </c>
      <c r="E177" s="271">
        <f t="shared" si="20"/>
        <v>247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392</v>
      </c>
      <c r="D189" s="225"/>
      <c r="E189" s="266">
        <v>392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358</v>
      </c>
      <c r="D191" s="210"/>
      <c r="E191" s="255">
        <v>358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60</v>
      </c>
      <c r="D192" s="210"/>
      <c r="E192" s="255">
        <v>60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58</v>
      </c>
      <c r="D193" s="210"/>
      <c r="E193" s="255">
        <v>58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149</v>
      </c>
      <c r="D194" s="226"/>
      <c r="E194" s="277">
        <v>149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237</v>
      </c>
      <c r="D195" s="210"/>
      <c r="E195" s="255">
        <v>237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1</v>
      </c>
      <c r="D198" s="210"/>
      <c r="E198" s="255">
        <v>1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1</v>
      </c>
      <c r="D199" s="210"/>
      <c r="E199" s="255">
        <v>1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631</v>
      </c>
      <c r="D201" s="210"/>
      <c r="E201" s="255">
        <v>631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56</v>
      </c>
      <c r="D202" s="210"/>
      <c r="E202" s="255">
        <v>56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1076</v>
      </c>
      <c r="D204" s="210"/>
      <c r="E204" s="255">
        <v>1076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12</v>
      </c>
      <c r="D205" s="211"/>
      <c r="E205" s="255">
        <v>12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3031</v>
      </c>
      <c r="D206" s="212">
        <f t="shared" ref="D206:F206" si="24">SUM(D189:D205)</f>
        <v>0</v>
      </c>
      <c r="E206" s="256">
        <f t="shared" si="24"/>
        <v>3031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2026-02-23T15:26:53Z</dcterms:modified>
  <cp:category/>
  <cp:contentStatus/>
</cp:coreProperties>
</file>