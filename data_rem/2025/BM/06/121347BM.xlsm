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JUNIO\"/>
    </mc:Choice>
  </mc:AlternateContent>
  <xr:revisionPtr revIDLastSave="0" documentId="13_ncr:1_{1734535D-71FB-40BF-8A3F-937F8BE0E0AA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activeTab="1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19" l="1"/>
  <c r="C26" i="19"/>
  <c r="C70" i="19"/>
  <c r="C71" i="19"/>
  <c r="C68" i="19"/>
  <c r="C63" i="19"/>
  <c r="C25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<sst xmlns="http://schemas.openxmlformats.org/spreadsheetml/2006/main" count="452" uniqueCount="397">
  <si>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</si>
  <si>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</si>
  <si>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</si>
  <si>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</si>
  <si>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</si>
  <si>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</si>
  <si>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</si>
  <si>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JUNIO</t>
  </si>
  <si>
    <t>AÑO:</t>
  </si>
  <si>
    <t xml:space="preserve"> </t>
  </si>
  <si>
    <t>Versión 1.2 Marzo 2025</t>
  </si>
  <si>
    <t>Director/a Servicio de Salud o Director/a Establecimiento</t>
  </si>
  <si>
    <t>KATHERINE FUENTES ASTUDILLO</t>
  </si>
  <si>
    <t>ENERO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</si>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</sst>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4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6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7</v>
      </c>
      <c r="AB16" s="35" t="s">
        <v>29</v>
      </c>
      <c r="AC16" s="109"/>
    </row>
    <row r="17" spans="2:29" ht="21" customHeight="1" x14ac:dyDescent="0.15">
      <c r="B17" s="282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abSelected="1" topLeftCell="A29" zoomScale="77" zoomScaleNormal="77" workbookViewId="0">
      <selection activeCell="C61" sqref="C6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</row>
    <row r="4" spans="1:6" x14ac:dyDescent="0.2">
      <c r="A4" s="50" t="str">
        <f>CONCATENATE("MES: ",NOMBRE!B6,"  ","( ",NOMBRE!C6,NOMBRE!D6," )")</f>
        <v>MES: JUNIO  ( 06 )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15</v>
      </c>
      <c r="E13" s="77">
        <f>SUM(E14:E20)</f>
        <v>0</v>
      </c>
      <c r="F13" s="77">
        <f>SUM(F14:F20)</f>
        <v>15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15</v>
      </c>
      <c r="E20" s="78">
        <f>BM18A!D88</f>
        <v>0</v>
      </c>
      <c r="F20" s="78">
        <f>BM18A!E88</f>
        <v>15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648</v>
      </c>
      <c r="E21" s="77">
        <f>SUM(E22+E23)</f>
        <v>0</v>
      </c>
      <c r="F21" s="77">
        <f>SUM(F22+F23)</f>
        <v>648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634</v>
      </c>
      <c r="E22" s="78">
        <f>SUM(BM18A!D92:D113)</f>
        <v>0</v>
      </c>
      <c r="F22" s="78">
        <f>SUM(BM18A!E92:E113)</f>
        <v>634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14</v>
      </c>
      <c r="E23" s="78">
        <f>SUM(BM18A!D114:D118)</f>
        <v>0</v>
      </c>
      <c r="F23" s="80">
        <f>SUM(BM18A!E114:E118)</f>
        <v>14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14</v>
      </c>
      <c r="E25" s="100"/>
      <c r="F25" s="93">
        <v>14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14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/>
    </row>
    <row r="35" spans="1:6" ht="17.25" customHeight="1" x14ac:dyDescent="0.2">
      <c r="A35" s="294"/>
      <c r="B35" s="310"/>
      <c r="C35" s="134" t="s">
        <v>92</v>
      </c>
      <c r="D35" s="81">
        <f>SUM(F35)</f>
        <v>0</v>
      </c>
      <c r="E35" s="92"/>
      <c r="F35" s="93"/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68</v>
      </c>
      <c r="C43" s="83">
        <f>BM18A!D158</f>
        <v>0</v>
      </c>
      <c r="D43" s="83">
        <f>BM18A!E158</f>
        <v>68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SUM(BM18A!D132:D139)</f>
        <v>0</v>
      </c>
      <c r="D45" s="79">
        <f>SUM(BM18A!E132:E139)</f>
        <v>0</v>
      </c>
    </row>
    <row r="46" spans="1:6" ht="16.5" customHeight="1" x14ac:dyDescent="0.2">
      <c r="A46" s="90" t="s">
        <v>105</v>
      </c>
      <c r="B46" s="79">
        <f t="shared" si="4"/>
        <v>62</v>
      </c>
      <c r="C46" s="83">
        <f>BM18A!D148</f>
        <v>0</v>
      </c>
      <c r="D46" s="83">
        <f>BM18A!E148</f>
        <v>62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4</v>
      </c>
      <c r="C48" s="83">
        <f>BM18A!D169</f>
        <v>0</v>
      </c>
      <c r="D48" s="83">
        <f>BM18A!E169</f>
        <v>4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182</v>
      </c>
      <c r="C50" s="79">
        <f>BM18A!D177</f>
        <v>0</v>
      </c>
      <c r="D50" s="79">
        <f>BM18A!E177</f>
        <v>182</v>
      </c>
    </row>
    <row r="51" spans="1:4" ht="16.5" customHeight="1" x14ac:dyDescent="0.2">
      <c r="A51" s="223" t="s">
        <v>110</v>
      </c>
      <c r="B51" s="90">
        <f t="shared" si="4"/>
        <v>2294</v>
      </c>
      <c r="C51" s="81">
        <f>BM18A!D206</f>
        <v>0</v>
      </c>
      <c r="D51" s="81">
        <f>BM18A!E206</f>
        <v>2294</v>
      </c>
    </row>
    <row r="52" spans="1:4" ht="17.25" customHeight="1" x14ac:dyDescent="0.2">
      <c r="A52" s="91" t="s">
        <v>67</v>
      </c>
      <c r="B52" s="77">
        <f>SUM(B42:B51)</f>
        <v>2610</v>
      </c>
      <c r="C52" s="77">
        <f>SUM(C42:C51)</f>
        <v>0</v>
      </c>
      <c r="D52" s="77">
        <f>SUM(D42:D51)</f>
        <v>2610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10</v>
      </c>
      <c r="D60" s="84">
        <v>0</v>
      </c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6584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opLeftCell="B169" zoomScale="80" zoomScaleNormal="80" workbookViewId="0">
      <selection activeCell="E196" sqref="E19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JUNIO  ( 06 )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>
        <v>0</v>
      </c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>
        <v>0</v>
      </c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>
        <v>0</v>
      </c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>
        <v>0</v>
      </c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>
        <v>0</v>
      </c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>
        <v>0</v>
      </c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>
        <v>0</v>
      </c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>
        <v>0</v>
      </c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>
        <v>0</v>
      </c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>
        <v>0</v>
      </c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>
        <v>0</v>
      </c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>
        <v>0</v>
      </c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>
        <v>0</v>
      </c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>
        <v>0</v>
      </c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>
        <v>0</v>
      </c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>
        <v>0</v>
      </c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>
        <v>0</v>
      </c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>
        <v>0</v>
      </c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>
        <v>0</v>
      </c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>
        <v>0</v>
      </c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>
        <v>0</v>
      </c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>
        <v>0</v>
      </c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>
        <v>0</v>
      </c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>
        <v>0</v>
      </c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>
        <v>0</v>
      </c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15</v>
      </c>
      <c r="D83" s="65"/>
      <c r="E83" s="114">
        <v>15</v>
      </c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>
        <v>0</v>
      </c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>
        <v>0</v>
      </c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>
        <v>0</v>
      </c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>
        <v>0</v>
      </c>
      <c r="F87" s="65"/>
    </row>
    <row r="88" spans="1:6" ht="15" customHeight="1" x14ac:dyDescent="0.2">
      <c r="A88" s="345" t="s">
        <v>67</v>
      </c>
      <c r="B88" s="346"/>
      <c r="C88" s="160">
        <f>SUM(C81:C87)</f>
        <v>15</v>
      </c>
      <c r="D88" s="156">
        <f>SUM(D81:D87)</f>
        <v>0</v>
      </c>
      <c r="E88" s="157">
        <f>SUM(E81:E87)</f>
        <v>15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15</v>
      </c>
      <c r="D89" s="156">
        <f>+D20+D43+D49+D54+D73+D78+D88</f>
        <v>0</v>
      </c>
      <c r="E89" s="157">
        <f>+E20+E43+E49+E54+E73+E78+E88</f>
        <v>15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>
        <v>0</v>
      </c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1</v>
      </c>
      <c r="D94" s="65"/>
      <c r="E94" s="114">
        <v>1</v>
      </c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157</v>
      </c>
      <c r="D95" s="65"/>
      <c r="E95" s="114">
        <v>157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>
        <v>0</v>
      </c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>
        <v>0</v>
      </c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22</v>
      </c>
      <c r="D99" s="65"/>
      <c r="E99" s="114">
        <v>22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>
        <v>0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>
        <v>0</v>
      </c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46</v>
      </c>
      <c r="D102" s="65"/>
      <c r="E102" s="114">
        <v>46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69</v>
      </c>
      <c r="D103" s="65"/>
      <c r="E103" s="114">
        <v>69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>
        <v>0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2</v>
      </c>
      <c r="D105" s="65"/>
      <c r="E105" s="114">
        <v>2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>
        <v>0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54</v>
      </c>
      <c r="D107" s="65"/>
      <c r="E107" s="114">
        <v>54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>
        <v>0</v>
      </c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19</v>
      </c>
      <c r="D109" s="65"/>
      <c r="E109" s="114">
        <v>19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4</v>
      </c>
      <c r="D110" s="65"/>
      <c r="E110" s="114">
        <v>4</v>
      </c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117</v>
      </c>
      <c r="D111" s="65"/>
      <c r="E111" s="114">
        <v>117</v>
      </c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>
        <v>0</v>
      </c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143</v>
      </c>
      <c r="D113" s="65"/>
      <c r="E113" s="114">
        <v>143</v>
      </c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14</v>
      </c>
      <c r="D114" s="65"/>
      <c r="E114" s="114">
        <v>14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>
        <v>0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>
        <v>0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>
        <v>0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>
        <v>0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0</v>
      </c>
      <c r="D139" s="189"/>
      <c r="E139" s="255">
        <v>0</v>
      </c>
      <c r="F139" s="251"/>
    </row>
    <row r="140" spans="1:6" ht="15" customHeight="1" x14ac:dyDescent="0.2">
      <c r="A140" s="345" t="s">
        <v>67</v>
      </c>
      <c r="B140" s="346"/>
      <c r="C140" s="72">
        <f>SUM(C131:C139)</f>
        <v>0</v>
      </c>
      <c r="D140" s="72">
        <f t="shared" ref="D140:F140" si="15">SUM(D131:D139)</f>
        <v>0</v>
      </c>
      <c r="E140" s="256">
        <f t="shared" si="15"/>
        <v>0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0</v>
      </c>
      <c r="D143" s="194"/>
      <c r="E143" s="247">
        <v>0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62</v>
      </c>
      <c r="D145" s="196">
        <v>0</v>
      </c>
      <c r="E145" s="261">
        <v>62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45" t="s">
        <v>67</v>
      </c>
      <c r="B148" s="346"/>
      <c r="C148" s="159">
        <f>SUM(C143:C147)</f>
        <v>62</v>
      </c>
      <c r="D148" s="159">
        <f t="shared" ref="D148" si="16">SUM(D143:D147)</f>
        <v>0</v>
      </c>
      <c r="E148" s="263">
        <f>SUM(E143:E147)</f>
        <v>62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36</v>
      </c>
      <c r="D151" s="237"/>
      <c r="E151" s="113">
        <v>36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>
        <v>0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32</v>
      </c>
      <c r="D154" s="214"/>
      <c r="E154" s="115">
        <v>32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0</v>
      </c>
      <c r="D156" s="210"/>
      <c r="E156" s="255">
        <v>0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0</v>
      </c>
      <c r="D157" s="211"/>
      <c r="E157" s="262">
        <v>0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68</v>
      </c>
      <c r="D158" s="212">
        <f t="shared" ref="D158:F158" si="18">SUM(D151:D157)</f>
        <v>0</v>
      </c>
      <c r="E158" s="256">
        <f t="shared" si="18"/>
        <v>68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>
        <v>0</v>
      </c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>
        <v>0</v>
      </c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>
        <v>0</v>
      </c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4</v>
      </c>
      <c r="D167" s="240">
        <v>0</v>
      </c>
      <c r="E167" s="266">
        <v>4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>
        <v>0</v>
      </c>
      <c r="F168" s="265"/>
    </row>
    <row r="169" spans="1:6" ht="15" customHeight="1" x14ac:dyDescent="0.2">
      <c r="A169" s="345" t="s">
        <v>67</v>
      </c>
      <c r="B169" s="346"/>
      <c r="C169" s="155">
        <f>SUM(C167:C168)</f>
        <v>4</v>
      </c>
      <c r="D169" s="228">
        <f>SUM(D167:D168)</f>
        <v>0</v>
      </c>
      <c r="E169" s="268">
        <f>SUM(E167:E168)</f>
        <v>4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11</v>
      </c>
      <c r="D172" s="242"/>
      <c r="E172" s="113">
        <v>11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9</v>
      </c>
      <c r="D173" s="65"/>
      <c r="E173" s="114">
        <v>9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10</v>
      </c>
      <c r="D174" s="65"/>
      <c r="E174" s="114">
        <v>10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68</v>
      </c>
      <c r="D175" s="65"/>
      <c r="E175" s="114">
        <v>68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84</v>
      </c>
      <c r="D176" s="201"/>
      <c r="E176" s="270">
        <v>84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182</v>
      </c>
      <c r="D177" s="155">
        <f t="shared" ref="D177:E177" si="20">SUM(D172:D176)</f>
        <v>0</v>
      </c>
      <c r="E177" s="271">
        <f t="shared" si="20"/>
        <v>182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44</v>
      </c>
      <c r="D189" s="225">
        <v>0</v>
      </c>
      <c r="E189" s="266">
        <v>44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258</v>
      </c>
      <c r="D191" s="210"/>
      <c r="E191" s="255">
        <v>258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213</v>
      </c>
      <c r="D192" s="210">
        <v>0</v>
      </c>
      <c r="E192" s="255">
        <v>213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83</v>
      </c>
      <c r="D193" s="210">
        <v>0</v>
      </c>
      <c r="E193" s="255">
        <v>83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86</v>
      </c>
      <c r="D194" s="226">
        <v>0</v>
      </c>
      <c r="E194" s="277">
        <v>86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245</v>
      </c>
      <c r="D195" s="210">
        <v>0</v>
      </c>
      <c r="E195" s="255">
        <v>245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15</v>
      </c>
      <c r="D198" s="210">
        <v>0</v>
      </c>
      <c r="E198" s="255">
        <v>15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430</v>
      </c>
      <c r="D202" s="210">
        <v>0</v>
      </c>
      <c r="E202" s="255">
        <v>430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45</v>
      </c>
      <c r="D203" s="210">
        <v>0</v>
      </c>
      <c r="E203" s="255">
        <v>45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855</v>
      </c>
      <c r="D204" s="210">
        <v>0</v>
      </c>
      <c r="E204" s="255">
        <v>855</v>
      </c>
      <c r="F204" s="250">
        <v>0</v>
      </c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20</v>
      </c>
      <c r="D205" s="211"/>
      <c r="E205" s="255">
        <v>20</v>
      </c>
      <c r="F205" s="258">
        <v>0</v>
      </c>
    </row>
    <row r="206" spans="1:6" ht="15" customHeight="1" x14ac:dyDescent="0.2">
      <c r="A206" s="345" t="s">
        <v>67</v>
      </c>
      <c r="B206" s="346"/>
      <c r="C206" s="72">
        <f>SUM(C189:C205)</f>
        <v>2294</v>
      </c>
      <c r="D206" s="212">
        <f t="shared" ref="D206:F206" si="24">SUM(D189:D205)</f>
        <v>0</v>
      </c>
      <c r="E206" s="256">
        <f t="shared" si="24"/>
        <v>2294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JUNIO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2025-08-22T19:31:03Z</dcterms:modified>
  <cp:category/>
  <cp:contentStatus/>
</cp:coreProperties>
</file>