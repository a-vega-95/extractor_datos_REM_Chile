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01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municitemuco-my.sharepoint.com/personal/gestorinformacion_valegre_temuco_cl/Documents/Documentos/Estadísticas/2025/06 Junio/Arquenco Junio 2025/"/>
    </mc:Choice>
  </mc:AlternateContent>
  <xr:revisionPtr revIDLastSave="0" documentId="8_{11E4ADE1-FE63-4865-BC3A-0F428D6E4CE9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tc={F4826ACB-7CA8-451E-86D4-DDA6CF0E686A}</author>
  </authors>
  <commentList>
    <comment ref="A188" authorId="0" shapeId="0" xr:uid="{F4826ACB-7CA8-451E-86D4-DDA6CF0E686A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completar información</t>
      </text>
    </comment>
  </commentList>
</comments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<sst xmlns="http://schemas.openxmlformats.org/spreadsheetml/2006/main" count="452" uniqueCount="397">
  <si>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</si>
  <si>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</si>
  <si>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</si>
  <si>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</si>
  <si>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</si>
  <si>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</si>
  <si>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</si>
  <si>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JUNIO</t>
  </si>
  <si>
    <t>AÑO:</t>
  </si>
  <si>
    <t xml:space="preserve"> </t>
  </si>
  <si>
    <t>Versión 1.2 Marzo 2025</t>
  </si>
  <si>
    <t>Director/a Servicio de Salud o Director/a Establecimiento</t>
  </si>
  <si>
    <t>SRA. MADELIN HERNÁNDEZ PÉREZ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</si>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</sst>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rta Vega Muñoz" id="{CE729692-F6B9-4448-89C1-4E1189C35735}" userId="S::mvegas@temuco.cl::305c9ee7-670d-4fb5-bce8-81a1c3af02d1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88" dT="2025-07-02T18:00:40.52" personId="{CE729692-F6B9-4448-89C1-4E1189C35735}" id="{F4826ACB-7CA8-451E-86D4-DDA6CF0E686A}">
    <text>completar información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G11" sqref="G11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6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7</v>
      </c>
      <c r="AB16" s="35" t="s">
        <v>29</v>
      </c>
      <c r="AC16" s="109"/>
    </row>
    <row r="17" spans="2:29" ht="21" customHeight="1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8" zoomScaleNormal="100" workbookViewId="0">
      <selection activeCell="D75" sqref="D75"/>
    </sheetView>
  </sheetViews>
  <sheetFormatPr defaultColWidth="11.42578125" defaultRowHeight="12.7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</row>
    <row r="4" spans="1:6">
      <c r="A4" s="50" t="str">
        <f>CONCATENATE("MES: ",NOMBRE!B6,"  ","( ",NOMBRE!C6,NOMBRE!D6," )")</f>
        <v>MES: JUNIO  ( 06 )</v>
      </c>
    </row>
    <row r="5" spans="1:6">
      <c r="A5" s="50" t="str">
        <f>CONCATENATE("AÑO: ",NOMBRE!B7)</f>
        <v>AÑO: 2025</v>
      </c>
    </row>
    <row r="8" spans="1:6" ht="29.25" customHeight="1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>
      <c r="A9" s="292"/>
      <c r="B9" s="292"/>
      <c r="C9" s="292"/>
      <c r="D9" s="292"/>
      <c r="E9" s="292"/>
      <c r="F9" s="292"/>
    </row>
    <row r="10" spans="1:6" ht="26.25" customHeight="1">
      <c r="A10" s="300" t="s">
        <v>65</v>
      </c>
      <c r="B10" s="300"/>
      <c r="C10" s="300"/>
    </row>
    <row r="11" spans="1:6" ht="12.75" customHeight="1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>
      <c r="A25" s="294"/>
      <c r="B25" s="310"/>
      <c r="C25" s="134" t="s">
        <v>92</v>
      </c>
      <c r="D25" s="80">
        <f>SUM(F25)</f>
        <v>0</v>
      </c>
      <c r="E25" s="100"/>
      <c r="F25" s="93">
        <v>0</v>
      </c>
    </row>
    <row r="26" spans="1:6" ht="17.25" customHeight="1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>
      <c r="A27" s="294"/>
      <c r="B27" s="310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>
      <c r="A31" s="294"/>
      <c r="B31" s="310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>
      <c r="A35" s="294"/>
      <c r="B35" s="310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>
      <c r="A37" s="295"/>
      <c r="B37" s="310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/>
    <row r="39" spans="1:6">
      <c r="A39" s="42" t="s">
        <v>99</v>
      </c>
      <c r="B39" s="11"/>
    </row>
    <row r="40" spans="1:6" ht="12.75" customHeight="1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>
      <c r="A41" s="297"/>
      <c r="B41" s="324"/>
      <c r="C41" s="295" t="s">
        <v>70</v>
      </c>
      <c r="D41" s="297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48</v>
      </c>
      <c r="C46" s="83">
        <f>BM18A!D148</f>
        <v>0</v>
      </c>
      <c r="D46" s="83">
        <f>BM18A!E148</f>
        <v>48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4</v>
      </c>
      <c r="C50" s="79">
        <f>BM18A!D177</f>
        <v>0</v>
      </c>
      <c r="D50" s="79">
        <f>BM18A!E177</f>
        <v>4</v>
      </c>
    </row>
    <row r="51" spans="1:4" ht="16.5" customHeight="1">
      <c r="A51" s="223" t="s">
        <v>110</v>
      </c>
      <c r="B51" s="90">
        <f t="shared" si="4"/>
        <v>417</v>
      </c>
      <c r="C51" s="81">
        <f>BM18A!D206</f>
        <v>0</v>
      </c>
      <c r="D51" s="81">
        <f>BM18A!E206</f>
        <v>417</v>
      </c>
    </row>
    <row r="52" spans="1:4" ht="17.25" customHeight="1">
      <c r="A52" s="91" t="s">
        <v>67</v>
      </c>
      <c r="B52" s="77">
        <f>SUM(B42:B51)</f>
        <v>469</v>
      </c>
      <c r="C52" s="77">
        <f>SUM(C42:C51)</f>
        <v>0</v>
      </c>
      <c r="D52" s="77">
        <f>SUM(D42:D51)</f>
        <v>469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32" t="s">
        <v>112</v>
      </c>
      <c r="B55" s="330" t="s">
        <v>67</v>
      </c>
    </row>
    <row r="56" spans="1:4">
      <c r="A56" s="333"/>
      <c r="B56" s="331"/>
    </row>
    <row r="57" spans="1:4" ht="17.25" customHeight="1">
      <c r="A57" s="116" t="s">
        <v>113</v>
      </c>
      <c r="B57" s="207">
        <v>0</v>
      </c>
    </row>
    <row r="58" spans="1:4" ht="27.75" customHeight="1">
      <c r="A58" s="36" t="s">
        <v>114</v>
      </c>
      <c r="D58" s="52"/>
    </row>
    <row r="59" spans="1:4" ht="32.25" customHeight="1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>
      <c r="A60" s="325" t="s">
        <v>118</v>
      </c>
      <c r="B60" s="208" t="s">
        <v>119</v>
      </c>
      <c r="C60" s="87">
        <v>0</v>
      </c>
      <c r="D60" s="84">
        <v>0</v>
      </c>
    </row>
    <row r="61" spans="1:4" ht="16.5" customHeight="1">
      <c r="A61" s="326"/>
      <c r="B61" s="12" t="s">
        <v>120</v>
      </c>
      <c r="C61" s="88">
        <v>0</v>
      </c>
      <c r="D61" s="85">
        <v>0</v>
      </c>
    </row>
    <row r="62" spans="1:4" ht="16.5" customHeight="1">
      <c r="A62" s="327"/>
      <c r="B62" s="13" t="s">
        <v>121</v>
      </c>
      <c r="C62" s="89">
        <v>0</v>
      </c>
      <c r="D62" s="86">
        <v>0</v>
      </c>
    </row>
    <row r="96" spans="1:1" hidden="1">
      <c r="A96" s="215">
        <f>SUM(D13:D37,B42:B52,B57,C60:C62)</f>
        <v>938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71" zoomScaleNormal="100" workbookViewId="0">
      <selection activeCell="G188" sqref="G188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JUNIO  ( 06 )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61"/>
      <c r="B6" s="361"/>
      <c r="C6" s="361"/>
      <c r="U6" s="54"/>
    </row>
    <row r="7" spans="1:21" s="53" customFormat="1" ht="36.75" customHeight="1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>
      <c r="A11" s="368"/>
      <c r="B11" s="352"/>
      <c r="C11" s="342"/>
      <c r="D11" s="352"/>
      <c r="E11" s="358"/>
      <c r="F11" s="352"/>
    </row>
    <row r="12" spans="1:21" ht="15" customHeight="1">
      <c r="A12" s="364" t="s">
        <v>124</v>
      </c>
      <c r="B12" s="364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64" t="s">
        <v>139</v>
      </c>
      <c r="B22" s="364"/>
      <c r="C22" s="365"/>
      <c r="D22" s="366"/>
      <c r="E22" s="366"/>
      <c r="F22" s="367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8" t="s">
        <v>180</v>
      </c>
      <c r="B45" s="339"/>
      <c r="C45" s="370"/>
      <c r="D45" s="370"/>
      <c r="E45" s="370"/>
      <c r="F45" s="37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8" t="s">
        <v>79</v>
      </c>
      <c r="B51" s="339"/>
      <c r="C51" s="372"/>
      <c r="D51" s="372"/>
      <c r="E51" s="372"/>
      <c r="F51" s="373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8" t="s">
        <v>81</v>
      </c>
      <c r="B56" s="339"/>
      <c r="C56" s="374"/>
      <c r="D56" s="372"/>
      <c r="E56" s="372"/>
      <c r="F56" s="373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>
      <c r="A66" s="57" t="s">
        <v>209</v>
      </c>
      <c r="B66" s="121" t="s">
        <v>210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75" t="s">
        <v>223</v>
      </c>
      <c r="B75" s="376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8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>
      <c r="A83" s="57" t="s">
        <v>233</v>
      </c>
      <c r="B83" s="121" t="s">
        <v>234</v>
      </c>
      <c r="C83" s="64">
        <f t="shared" si="10"/>
        <v>0</v>
      </c>
      <c r="D83" s="65">
        <v>0</v>
      </c>
      <c r="E83" s="114">
        <v>0</v>
      </c>
      <c r="F83" s="65">
        <v>0</v>
      </c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>
      <c r="A86" s="57" t="s">
        <v>239</v>
      </c>
      <c r="B86" s="121" t="s">
        <v>240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59" t="s">
        <v>244</v>
      </c>
      <c r="B91" s="360"/>
      <c r="C91" s="349"/>
      <c r="D91" s="349"/>
      <c r="E91" s="349"/>
      <c r="F91" s="350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>
        <v>0</v>
      </c>
      <c r="E114" s="114">
        <v>0</v>
      </c>
      <c r="F114" s="65">
        <v>0</v>
      </c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>
        <v>0</v>
      </c>
      <c r="E115" s="114">
        <v>0</v>
      </c>
      <c r="F115" s="65">
        <v>0</v>
      </c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43" t="s">
        <v>299</v>
      </c>
      <c r="B120" s="344"/>
      <c r="C120" s="344"/>
      <c r="D120" s="344"/>
      <c r="E120" s="344"/>
      <c r="F120" s="344"/>
    </row>
    <row r="121" spans="1:6" ht="14.1" customHeight="1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>
      <c r="A122" s="352"/>
      <c r="B122" s="356"/>
      <c r="C122" s="352"/>
      <c r="D122" s="352"/>
      <c r="E122" s="358"/>
      <c r="F122" s="342"/>
    </row>
    <row r="123" spans="1:6" ht="15" customHeight="1">
      <c r="A123" s="338" t="s">
        <v>300</v>
      </c>
      <c r="B123" s="339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8" t="s">
        <v>305</v>
      </c>
      <c r="B130" s="339"/>
      <c r="C130" s="334"/>
      <c r="D130" s="335"/>
      <c r="E130" s="335"/>
      <c r="F130" s="336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>
        <v>0</v>
      </c>
      <c r="E134" s="255">
        <v>0</v>
      </c>
      <c r="F134" s="250">
        <v>0</v>
      </c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8" t="s">
        <v>315</v>
      </c>
      <c r="B142" s="339"/>
      <c r="C142" s="334"/>
      <c r="D142" s="335"/>
      <c r="E142" s="335"/>
      <c r="F142" s="336"/>
    </row>
    <row r="143" spans="1:6" ht="15" customHeight="1">
      <c r="A143" s="59" t="s">
        <v>316</v>
      </c>
      <c r="B143" s="128" t="s">
        <v>317</v>
      </c>
      <c r="C143" s="70">
        <f>SUM(D143:E143)</f>
        <v>36</v>
      </c>
      <c r="D143" s="194">
        <v>0</v>
      </c>
      <c r="E143" s="247">
        <v>36</v>
      </c>
      <c r="F143" s="257">
        <v>0</v>
      </c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>
        <v>0</v>
      </c>
      <c r="E144" s="260">
        <v>0</v>
      </c>
      <c r="F144" s="250">
        <v>0</v>
      </c>
    </row>
    <row r="145" spans="1:6" ht="15" customHeight="1">
      <c r="A145" s="60"/>
      <c r="B145" s="129" t="s">
        <v>320</v>
      </c>
      <c r="C145" s="73">
        <f>SUM(D145:E145)</f>
        <v>12</v>
      </c>
      <c r="D145" s="196">
        <v>0</v>
      </c>
      <c r="E145" s="261">
        <v>12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>
      <c r="A148" s="345" t="s">
        <v>67</v>
      </c>
      <c r="B148" s="346"/>
      <c r="C148" s="159">
        <f>SUM(C143:C147)</f>
        <v>48</v>
      </c>
      <c r="D148" s="159">
        <f t="shared" ref="D148" si="16">SUM(D143:D147)</f>
        <v>0</v>
      </c>
      <c r="E148" s="263">
        <f>SUM(E143:E147)</f>
        <v>48</v>
      </c>
      <c r="F148" s="259">
        <f>SUM(F143:F147)</f>
        <v>0</v>
      </c>
    </row>
    <row r="149" spans="1:6" ht="15" customHeight="1">
      <c r="A149" s="130"/>
      <c r="B149" s="337"/>
      <c r="C149" s="337"/>
      <c r="D149" s="337"/>
      <c r="E149" s="337"/>
      <c r="F149" s="337"/>
    </row>
    <row r="150" spans="1:6" ht="15" customHeight="1">
      <c r="A150" s="353" t="s">
        <v>323</v>
      </c>
      <c r="B150" s="354"/>
      <c r="C150" s="345"/>
      <c r="D150" s="347"/>
      <c r="E150" s="347"/>
      <c r="F150" s="34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>
        <v>0</v>
      </c>
      <c r="E151" s="113">
        <v>0</v>
      </c>
      <c r="F151" s="257">
        <v>0</v>
      </c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>
        <v>0</v>
      </c>
      <c r="E152" s="114">
        <v>0</v>
      </c>
      <c r="F152" s="250">
        <v>0</v>
      </c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>
        <v>0</v>
      </c>
      <c r="E154" s="115">
        <v>0</v>
      </c>
      <c r="F154" s="250">
        <v>0</v>
      </c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>
        <v>0</v>
      </c>
      <c r="E156" s="255">
        <v>0</v>
      </c>
      <c r="F156" s="250">
        <v>0</v>
      </c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>
      <c r="A158" s="345" t="s">
        <v>67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8" t="s">
        <v>334</v>
      </c>
      <c r="B160" s="339"/>
      <c r="C160" s="345"/>
      <c r="D160" s="347"/>
      <c r="E160" s="347"/>
      <c r="F160" s="346"/>
    </row>
    <row r="161" spans="1:6" ht="15" customHeight="1">
      <c r="A161" s="61"/>
      <c r="B161" s="121" t="s">
        <v>335</v>
      </c>
      <c r="C161" s="204">
        <f>SUM(D161:E161)</f>
        <v>0</v>
      </c>
      <c r="D161" s="240">
        <v>0</v>
      </c>
      <c r="E161" s="266">
        <v>0</v>
      </c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8" t="s">
        <v>339</v>
      </c>
      <c r="B166" s="339"/>
      <c r="C166" s="345"/>
      <c r="D166" s="347"/>
      <c r="E166" s="347"/>
      <c r="F166" s="346"/>
    </row>
    <row r="167" spans="1:6" ht="15" customHeight="1">
      <c r="A167" s="61"/>
      <c r="B167" s="121" t="s">
        <v>340</v>
      </c>
      <c r="C167" s="241">
        <f>SUM(D167:E167)</f>
        <v>0</v>
      </c>
      <c r="D167" s="240">
        <v>0</v>
      </c>
      <c r="E167" s="266">
        <v>0</v>
      </c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48"/>
      <c r="B170" s="348"/>
      <c r="C170" s="348"/>
      <c r="D170" s="348"/>
      <c r="E170" s="348"/>
      <c r="F170" s="348"/>
    </row>
    <row r="171" spans="1:6" ht="15" customHeight="1">
      <c r="A171" s="338" t="s">
        <v>342</v>
      </c>
      <c r="B171" s="339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1</v>
      </c>
      <c r="D172" s="242">
        <v>0</v>
      </c>
      <c r="E172" s="113">
        <v>1</v>
      </c>
      <c r="F172" s="264"/>
    </row>
    <row r="173" spans="1:6" ht="15" customHeight="1">
      <c r="A173" s="60"/>
      <c r="B173" s="121" t="s">
        <v>344</v>
      </c>
      <c r="C173" s="188">
        <f>SUM(D173:E173)</f>
        <v>1</v>
      </c>
      <c r="D173" s="65">
        <v>0</v>
      </c>
      <c r="E173" s="114">
        <v>1</v>
      </c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2</v>
      </c>
      <c r="D174" s="65">
        <v>0</v>
      </c>
      <c r="E174" s="114">
        <v>2</v>
      </c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0</v>
      </c>
      <c r="D175" s="65">
        <v>0</v>
      </c>
      <c r="E175" s="114">
        <v>0</v>
      </c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>
        <v>0</v>
      </c>
      <c r="E176" s="270">
        <v>0</v>
      </c>
      <c r="F176" s="246"/>
    </row>
    <row r="177" spans="1:6" ht="15" customHeight="1">
      <c r="A177" s="345" t="s">
        <v>67</v>
      </c>
      <c r="B177" s="346"/>
      <c r="C177" s="155">
        <f>SUM(C172:C176)</f>
        <v>4</v>
      </c>
      <c r="D177" s="155">
        <f t="shared" ref="D177:E177" si="20">SUM(D172:D176)</f>
        <v>0</v>
      </c>
      <c r="E177" s="271">
        <f t="shared" si="20"/>
        <v>4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8" t="s">
        <v>348</v>
      </c>
      <c r="B179" s="339"/>
      <c r="C179" s="338"/>
      <c r="D179" s="339"/>
      <c r="E179" s="339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37"/>
      <c r="B187" s="337"/>
      <c r="C187" s="337"/>
      <c r="D187" s="337"/>
      <c r="E187" s="337"/>
      <c r="F187" s="337"/>
    </row>
    <row r="188" spans="1:6" ht="15" customHeight="1">
      <c r="A188" s="338" t="s">
        <v>110</v>
      </c>
      <c r="B188" s="339"/>
      <c r="C188" s="334"/>
      <c r="D188" s="335"/>
      <c r="E188" s="335"/>
      <c r="F188" s="336"/>
    </row>
    <row r="189" spans="1:6" ht="15" customHeight="1">
      <c r="A189" s="62"/>
      <c r="B189" s="128" t="s">
        <v>355</v>
      </c>
      <c r="C189" s="188">
        <f t="shared" ref="C189:C194" si="22">SUM(D189:E189)</f>
        <v>0</v>
      </c>
      <c r="D189" s="225">
        <v>0</v>
      </c>
      <c r="E189" s="266">
        <v>0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>
        <v>0</v>
      </c>
      <c r="E190" s="255">
        <v>0</v>
      </c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31</v>
      </c>
      <c r="D191" s="210">
        <v>0</v>
      </c>
      <c r="E191" s="255">
        <v>31</v>
      </c>
      <c r="F191" s="246"/>
    </row>
    <row r="192" spans="1:6" ht="15" customHeight="1">
      <c r="A192" s="62"/>
      <c r="B192" s="129" t="s">
        <v>359</v>
      </c>
      <c r="C192" s="188">
        <f t="shared" si="22"/>
        <v>7</v>
      </c>
      <c r="D192" s="210">
        <v>0</v>
      </c>
      <c r="E192" s="255">
        <v>7</v>
      </c>
      <c r="F192" s="246"/>
    </row>
    <row r="193" spans="1:6" ht="15" customHeight="1">
      <c r="A193" s="62"/>
      <c r="B193" s="129" t="s">
        <v>360</v>
      </c>
      <c r="C193" s="188">
        <f t="shared" si="22"/>
        <v>4</v>
      </c>
      <c r="D193" s="210">
        <v>0</v>
      </c>
      <c r="E193" s="255">
        <v>4</v>
      </c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>
        <v>0</v>
      </c>
      <c r="E194" s="277">
        <v>0</v>
      </c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60</v>
      </c>
      <c r="D195" s="210">
        <v>0</v>
      </c>
      <c r="E195" s="255">
        <v>60</v>
      </c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>
        <v>0</v>
      </c>
      <c r="E198" s="255">
        <v>0</v>
      </c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140</v>
      </c>
      <c r="D202" s="210">
        <v>0</v>
      </c>
      <c r="E202" s="255">
        <v>140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5</v>
      </c>
      <c r="D203" s="210">
        <v>0</v>
      </c>
      <c r="E203" s="255">
        <v>5</v>
      </c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165</v>
      </c>
      <c r="D204" s="210">
        <v>0</v>
      </c>
      <c r="E204" s="255">
        <v>165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5</v>
      </c>
      <c r="D205" s="211">
        <v>0</v>
      </c>
      <c r="E205" s="255">
        <v>5</v>
      </c>
      <c r="F205" s="258"/>
    </row>
    <row r="206" spans="1:6" ht="15" customHeight="1">
      <c r="A206" s="345" t="s">
        <v>67</v>
      </c>
      <c r="B206" s="346"/>
      <c r="C206" s="72">
        <f>SUM(C189:C205)</f>
        <v>417</v>
      </c>
      <c r="D206" s="212">
        <f t="shared" ref="D206:F206" si="24">SUM(D189:D205)</f>
        <v>0</v>
      </c>
      <c r="E206" s="256">
        <f t="shared" si="24"/>
        <v>417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defaultColWidth="11.42578125" defaultRowHeight="12.75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JUNIO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2025-07-04T18:47:46Z</dcterms:modified>
  <cp:category/>
  <cp:contentStatus/>
</cp:coreProperties>
</file>